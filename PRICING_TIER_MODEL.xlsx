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cenarioA" sheetId="3" state="visible" r:id="rId5"/>
    <sheet name="ScenarioB" sheetId="4" state="visible" r:id="rId6"/>
    <sheet name="Comparison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<sst xmlns="http://schemas.openxmlformats.org/spreadsheetml/2006/main" count="198" uniqueCount="155">
  <si>
    <t xml:space="preserve">Pricing Tier Comparison Model — V1 Entry Ladder</t>
  </si>
  <si>
    <t xml:space="preserve">Author</t>
  </si>
  <si>
    <t xml:space="preserve">Yoshi + Claude (S87 close)</t>
  </si>
  <si>
    <t xml:space="preserve">Date</t>
  </si>
  <si>
    <t xml:space="preserve">2026-05-19</t>
  </si>
  <si>
    <t xml:space="preserve">Question</t>
  </si>
  <si>
    <t xml:space="preserve">V1 entry ladder: $1.99/$4.99 (Scenario A) vs $4.99/$9.99 (Scenario B). Which yields more Year-1 revenue?</t>
  </si>
  <si>
    <t xml:space="preserve">Companion doc</t>
  </si>
  <si>
    <t xml:space="preserve">~/Desktop/App/PRICING_TIER_ANALYSIS.md</t>
  </si>
  <si>
    <t xml:space="preserve">How to use this model</t>
  </si>
  <si>
    <t xml:space="preserve">1. Inputs tab — change blue cells to test different assumptions. All formulas downstream update.</t>
  </si>
  <si>
    <t xml:space="preserve">2. ScenarioA tab — $1.99 / $4.99 ladder, calculations across three volume scenarios.</t>
  </si>
  <si>
    <t xml:space="preserve">3. ScenarioB tab — $4.99 / $9.99 ladder, calculations across three volume scenarios.</t>
  </si>
  <si>
    <t xml:space="preserve">4. Comparison tab — side-by-side Year-1 net revenue for both ladders.</t>
  </si>
  <si>
    <t xml:space="preserve">5. Sensitivity tab — breakeven analysis: at what free-to-paid conversion ratio does Scenario B win?</t>
  </si>
  <si>
    <t xml:space="preserve">Color coding</t>
  </si>
  <si>
    <t xml:space="preserve">Blue text = hardcoded input you can change</t>
  </si>
  <si>
    <t xml:space="preserve">Black text = formula, do not edit directly</t>
  </si>
  <si>
    <t xml:space="preserve">Green text = links to other sheets</t>
  </si>
  <si>
    <t xml:space="preserve">Yellow background = key sensitivity input</t>
  </si>
  <si>
    <t xml:space="preserve">Orange background = key output / decision driver</t>
  </si>
  <si>
    <t xml:space="preserve">INPUTS — All assumptions, change blue cells to test</t>
  </si>
  <si>
    <t xml:space="preserve">Year-1 install volume scenarios</t>
  </si>
  <si>
    <t xml:space="preserve">Scenario</t>
  </si>
  <si>
    <t xml:space="preserve">Total Y1 installs</t>
  </si>
  <si>
    <t xml:space="preserve">Rationale</t>
  </si>
  <si>
    <t xml:space="preserve">Conservative</t>
  </si>
  <si>
    <t xml:space="preserve">Cold launch, no audience, organic discovery only</t>
  </si>
  <si>
    <t xml:space="preserve">Base</t>
  </si>
  <si>
    <t xml:space="preserve">Modest YouTube cross-channel funnel + organic Bible-app search</t>
  </si>
  <si>
    <t xml:space="preserve">Optimistic</t>
  </si>
  <si>
    <t xml:space="preserve">Share/watermark viral loop + restored-names community word-of-mouth</t>
  </si>
  <si>
    <t xml:space="preserve">Scenario A — $1.99 / $4.99 entry ladder</t>
  </si>
  <si>
    <t xml:space="preserve">Free → $1.99 conversion rate</t>
  </si>
  <si>
    <t xml:space="preserve">Free → $1.99 rate</t>
  </si>
  <si>
    <t xml:space="preserve">$1.99 → $4.99 upgrade rate (within 6 mo)</t>
  </si>
  <si>
    <t xml:space="preserve">Scenario B — $4.99 / $9.99 entry ladder</t>
  </si>
  <si>
    <t xml:space="preserve">Free → $4.99 conversion rate</t>
  </si>
  <si>
    <t xml:space="preserve">Free → $4.99 rate</t>
  </si>
  <si>
    <t xml:space="preserve">$4.99 → $9.99 upgrade rate (within 6 mo)</t>
  </si>
  <si>
    <t xml:space="preserve">Pricing</t>
  </si>
  <si>
    <t xml:space="preserve">Tier</t>
  </si>
  <si>
    <t xml:space="preserve">Monthly price</t>
  </si>
  <si>
    <t xml:space="preserve">$1.99 tier</t>
  </si>
  <si>
    <t xml:space="preserve">$4.99 tier</t>
  </si>
  <si>
    <t xml:space="preserve">$9.99 tier</t>
  </si>
  <si>
    <t xml:space="preserve">Annual churn rates</t>
  </si>
  <si>
    <t xml:space="preserve">Annual churn</t>
  </si>
  <si>
    <t xml:space="preserve">Source / reasoning</t>
  </si>
  <si>
    <t xml:space="preserve">$1.99 churn</t>
  </si>
  <si>
    <t xml:space="preserve">Low-price tier, less commitment, higher churn</t>
  </si>
  <si>
    <t xml:space="preserve">$4.99 churn</t>
  </si>
  <si>
    <t xml:space="preserve">Mid-price, more committed users</t>
  </si>
  <si>
    <t xml:space="preserve">$9.99 churn</t>
  </si>
  <si>
    <t xml:space="preserve">Premium-price, filtered for committed users</t>
  </si>
  <si>
    <t xml:space="preserve">Cost factors</t>
  </si>
  <si>
    <t xml:space="preserve">Stripe + ops cost factor</t>
  </si>
  <si>
    <t xml:space="preserve">Stripe 2.9% + 30c/txn + accounting overhead</t>
  </si>
  <si>
    <t xml:space="preserve">Refund/chargeback rate at sub-$5 tiers</t>
  </si>
  <si>
    <t xml:space="preserve">Industry standard ~1% at low-price tiers</t>
  </si>
  <si>
    <t xml:space="preserve">Refund/chargeback rate at $5+ tiers</t>
  </si>
  <si>
    <t xml:space="preserve">Industry standard 2-4% at higher prices</t>
  </si>
  <si>
    <t xml:space="preserve">Second-order corrections (Scenario B drags)</t>
  </si>
  <si>
    <t xml:space="preserve">Install volume drop under higher pricing</t>
  </si>
  <si>
    <t xml:space="preserve">Word-of-mouth velocity slower at high prices; fewer reviews</t>
  </si>
  <si>
    <t xml:space="preserve">Mid-year churn factor (half-year average)</t>
  </si>
  <si>
    <t xml:space="preserve">Churn applies progressively, not all at end of year</t>
  </si>
  <si>
    <t xml:space="preserve">Year-1 revenue calculation, three install volumes</t>
  </si>
  <si>
    <t xml:space="preserve">Metric</t>
  </si>
  <si>
    <t xml:space="preserve">Formula</t>
  </si>
  <si>
    <t xml:space="preserve">Y1 installs</t>
  </si>
  <si>
    <t xml:space="preserve">From Inputs</t>
  </si>
  <si>
    <t xml:space="preserve">Users entering at $1.99</t>
  </si>
  <si>
    <t xml:space="preserve">installs × conversion rate</t>
  </si>
  <si>
    <t xml:space="preserve">$1.99 → $4.99 upgrade rate (6 mo)</t>
  </si>
  <si>
    <t xml:space="preserve">Users upgraded to $4.99 by month 6</t>
  </si>
  <si>
    <t xml:space="preserve">$1.99 users × upgrade rate</t>
  </si>
  <si>
    <t xml:space="preserve">Users still at $1.99 by month 6</t>
  </si>
  <si>
    <t xml:space="preserve">$1.99 users − upgraded</t>
  </si>
  <si>
    <t xml:space="preserve">Revenue first 6 months (all at $1.99)</t>
  </si>
  <si>
    <t xml:space="preserve">$1.99 users × $1.99 × 6 months</t>
  </si>
  <si>
    <t xml:space="preserve">Revenue second 6 months ($1.99 stayers)</t>
  </si>
  <si>
    <t xml:space="preserve">remaining $1.99 × $1.99 × 6</t>
  </si>
  <si>
    <t xml:space="preserve">Revenue second 6 months ($4.99 upgraded)</t>
  </si>
  <si>
    <t xml:space="preserve">upgraded users × $4.99 × 6</t>
  </si>
  <si>
    <t xml:space="preserve">Subtotal — gross revenue pre-churn</t>
  </si>
  <si>
    <t xml:space="preserve">Blended churn factor (mid-year average)</t>
  </si>
  <si>
    <t xml:space="preserve">1 − (weighted blended churn × half-year factor)</t>
  </si>
  <si>
    <t xml:space="preserve">Revenue after churn</t>
  </si>
  <si>
    <t xml:space="preserve">Refund/chargeback rate (blended)</t>
  </si>
  <si>
    <t xml:space="preserve">Weighted by user count</t>
  </si>
  <si>
    <t xml:space="preserve">Revenue after refunds</t>
  </si>
  <si>
    <t xml:space="preserve">After Stripe/ops cost</t>
  </si>
  <si>
    <t xml:space="preserve">NET Y1 REVENUE — SCENARIO A</t>
  </si>
  <si>
    <t xml:space="preserve">Y1 installs (raw)</t>
  </si>
  <si>
    <t xml:space="preserve">Install drop factor (higher prices)</t>
  </si>
  <si>
    <t xml:space="preserve">Effective installs after drop</t>
  </si>
  <si>
    <t xml:space="preserve">raw installs × (1 − drop)</t>
  </si>
  <si>
    <t xml:space="preserve">Users entering at $4.99</t>
  </si>
  <si>
    <t xml:space="preserve">effective installs × conv rate</t>
  </si>
  <si>
    <t xml:space="preserve">$4.99 → $9.99 upgrade rate (6 mo)</t>
  </si>
  <si>
    <t xml:space="preserve">Users upgraded to $9.99 by month 6</t>
  </si>
  <si>
    <t xml:space="preserve">$4.99 users × upgrade rate</t>
  </si>
  <si>
    <t xml:space="preserve">Users still at $4.99 by month 6</t>
  </si>
  <si>
    <t xml:space="preserve">$4.99 users − upgraded</t>
  </si>
  <si>
    <t xml:space="preserve">Revenue first 6 months (all at $4.99)</t>
  </si>
  <si>
    <t xml:space="preserve">Revenue second 6 months ($4.99 stayers)</t>
  </si>
  <si>
    <t xml:space="preserve">Revenue second 6 months ($9.99 upgraded)</t>
  </si>
  <si>
    <t xml:space="preserve">Refund/chargeback rate ($5+ tiers)</t>
  </si>
  <si>
    <t xml:space="preserve">NET Y1 REVENUE — SCENARIO B</t>
  </si>
  <si>
    <t xml:space="preserve">Comparison — Scenario A vs Scenario B</t>
  </si>
  <si>
    <t xml:space="preserve">Net Year-1 revenue by scenario</t>
  </si>
  <si>
    <t xml:space="preserve">Conservative (10K)</t>
  </si>
  <si>
    <t xml:space="preserve">Base (30K)</t>
  </si>
  <si>
    <t xml:space="preserve">Optimistic (75K)</t>
  </si>
  <si>
    <t xml:space="preserve">Scenario A ($1.99 / $4.99)</t>
  </si>
  <si>
    <t xml:space="preserve">Scenario B ($4.99 / $9.99)</t>
  </si>
  <si>
    <t xml:space="preserve">Delta (B minus A)</t>
  </si>
  <si>
    <t xml:space="preserve">% difference (B vs A)</t>
  </si>
  <si>
    <t xml:space="preserve">Winner</t>
  </si>
  <si>
    <t xml:space="preserve">Paying user count (drives reviews, viral, Y2 funnel)</t>
  </si>
  <si>
    <t xml:space="preserve">Scenario A — total paying users</t>
  </si>
  <si>
    <t xml:space="preserve">Scenario B — total paying users</t>
  </si>
  <si>
    <t xml:space="preserve">Delta paying users (A advantage)</t>
  </si>
  <si>
    <t xml:space="preserve">Strategic factors (not in dollar terms — must weight separately)</t>
  </si>
  <si>
    <t xml:space="preserve">Factor</t>
  </si>
  <si>
    <t xml:space="preserve">Favors</t>
  </si>
  <si>
    <t xml:space="preserve">Larger paying base → faster review accumulation</t>
  </si>
  <si>
    <t xml:space="preserve">Scenario A</t>
  </si>
  <si>
    <t xml:space="preserve">Year-1 App Store ranking + word-of-mouth</t>
  </si>
  <si>
    <t xml:space="preserve">Easier to raise prices later than cut later</t>
  </si>
  <si>
    <t xml:space="preserve">Asymmetric risk; price changes harder downward</t>
  </si>
  <si>
    <t xml:space="preserve">Stronger Y2 cascade into $9.99 / $14.99</t>
  </si>
  <si>
    <t xml:space="preserve">$1.99 user base feeds Y2 funnel</t>
  </si>
  <si>
    <t xml:space="preserve">Mission alignment (framework accessibility)</t>
  </si>
  <si>
    <t xml:space="preserve">Voice skill posture — patience toward deceived</t>
  </si>
  <si>
    <t xml:space="preserve">Filters for committed users with higher LTV</t>
  </si>
  <si>
    <t xml:space="preserve">Scenario B</t>
  </si>
  <si>
    <t xml:space="preserve">Premium pricing acts as quality signal</t>
  </si>
  <si>
    <t xml:space="preserve">Higher per-user revenue</t>
  </si>
  <si>
    <t xml:space="preserve">Each subscriber more lucrative</t>
  </si>
  <si>
    <t xml:space="preserve">Better retention (Day-35 retention 2x)</t>
  </si>
  <si>
    <t xml:space="preserve">Adapty 2025 data — high prices retain better</t>
  </si>
  <si>
    <t xml:space="preserve">Faster cash generation in Y1 (per converter)</t>
  </si>
  <si>
    <t xml:space="preserve">Each conversion more cash up front</t>
  </si>
  <si>
    <t xml:space="preserve">Sensitivity — Breakeven analysis at Base install volume (30K)</t>
  </si>
  <si>
    <t xml:space="preserve">This table shows: at the base install volume (30K), how does the net revenue gap change as we vary the Free → $4.99 conversion rate? Scenario A's $1.99 conversion rate is held at the base value (7%).</t>
  </si>
  <si>
    <t xml:space="preserve">Free → $4.99 conv rate</t>
  </si>
  <si>
    <t xml:space="preserve">Scenario A net Y1 revenue (Base, 30K)</t>
  </si>
  <si>
    <t xml:space="preserve">Scenario B net Y1 revenue at this conv rate</t>
  </si>
  <si>
    <t xml:space="preserve">Winner at this rate</t>
  </si>
  <si>
    <t xml:space="preserve">Interpretation</t>
  </si>
  <si>
    <t xml:space="preserve">The Free → $4.99 conversion rate is the swing variable. Industry benchmarks (RevenueCat 2025) suggest a 53% drop from low-tier to mid-tier conversion. If $1.99 conversion is 7%, $4.99 conversion would be roughly 3.3%.</t>
  </si>
  <si>
    <t xml:space="preserve">The breakeven point is where Scenario B revenue = Scenario A revenue. Above the breakeven $4.99 conversion rate, Scenario B wins. Below it, Scenario A wins.</t>
  </si>
  <si>
    <t xml:space="preserve">Note: This sensitivity holds all OTHER variables constant. To test other levers, change values on the Inputs tab and rerun.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</si>
</sst>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\$#,##0"/>
    <numFmt numFmtId="169" formatCode="\$#,##0;&quot;($&quot;#,##0\)"/>
    <numFmt numFmtId="170" formatCode="0.0%;\(0.0%\)"/>
    <numFmt numFmtId="171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8" customFormat="false" ht="15" hidden="false" customHeight="true" outlineLevel="0" collapsed="false">
      <c r="A8" s="5" t="s">
        <v>9</v>
      </c>
      <c r="B8" s="5"/>
      <c r="C8" s="5"/>
      <c r="D8" s="5"/>
      <c r="E8" s="5"/>
      <c r="F8" s="5"/>
    </row>
    <row r="9" customFormat="false" ht="15" hidden="false" customHeight="true" outlineLevel="0" collapsed="false">
      <c r="A9" s="6" t="s">
        <v>10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6" t="s">
        <v>11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6" t="s">
        <v>12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6" t="s">
        <v>13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6" t="s">
        <v>14</v>
      </c>
      <c r="B13" s="6"/>
      <c r="C13" s="6"/>
      <c r="D13" s="6"/>
      <c r="E13" s="6"/>
      <c r="F13" s="6"/>
    </row>
    <row r="15" customFormat="false" ht="15" hidden="false" customHeight="true" outlineLevel="0" collapsed="false">
      <c r="A15" s="5" t="s">
        <v>15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7" t="s">
        <v>16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A18" s="8" t="s">
        <v>18</v>
      </c>
    </row>
    <row r="19" customFormat="false" ht="15" hidden="false" customHeight="true" outlineLevel="0" collapsed="false">
      <c r="A19" s="9" t="s">
        <v>19</v>
      </c>
    </row>
    <row r="20" customFormat="false" ht="15" hidden="false" customHeight="true" outlineLevel="0" collapsed="false">
      <c r="A20" s="10" t="s">
        <v>20</v>
      </c>
    </row>
  </sheetData>
  <mergeCells count="8">
    <mergeCell ref="A1:F1"/>
    <mergeCell ref="A8:F8"/>
    <mergeCell ref="A9:F9"/>
    <mergeCell ref="A10:F10"/>
    <mergeCell ref="A11:F11"/>
    <mergeCell ref="A12:F12"/>
    <mergeCell ref="A13:F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5" min="4" style="1" width="18"/>
  </cols>
  <sheetData>
    <row r="1" customFormat="false" ht="15" hidden="false" customHeight="true" outlineLevel="0" collapsed="false">
      <c r="A1" s="11" t="s">
        <v>21</v>
      </c>
      <c r="B1" s="11"/>
      <c r="C1" s="11"/>
      <c r="D1" s="11"/>
      <c r="E1" s="11"/>
    </row>
    <row r="3" customFormat="false" ht="15" hidden="false" customHeight="true" outlineLevel="0" collapsed="false">
      <c r="A3" s="12" t="s">
        <v>22</v>
      </c>
      <c r="B3" s="12"/>
      <c r="C3" s="12"/>
      <c r="D3" s="12"/>
      <c r="E3" s="12"/>
    </row>
    <row r="4" customFormat="false" ht="15" hidden="false" customHeight="true" outlineLevel="0" collapsed="false">
      <c r="A4" s="13" t="s">
        <v>23</v>
      </c>
      <c r="B4" s="13" t="s">
        <v>24</v>
      </c>
      <c r="C4" s="13" t="s">
        <v>25</v>
      </c>
    </row>
    <row r="5" customFormat="false" ht="15" hidden="false" customHeight="true" outlineLevel="0" collapsed="false">
      <c r="A5" s="4" t="s">
        <v>26</v>
      </c>
      <c r="B5" s="14" t="n">
        <v>10000</v>
      </c>
      <c r="C5" s="4" t="s">
        <v>27</v>
      </c>
    </row>
    <row r="6" customFormat="false" ht="15" hidden="false" customHeight="true" outlineLevel="0" collapsed="false">
      <c r="A6" s="4" t="s">
        <v>28</v>
      </c>
      <c r="B6" s="14" t="n">
        <v>30000</v>
      </c>
      <c r="C6" s="4" t="s">
        <v>29</v>
      </c>
    </row>
    <row r="7" customFormat="false" ht="15" hidden="false" customHeight="true" outlineLevel="0" collapsed="false">
      <c r="A7" s="4" t="s">
        <v>30</v>
      </c>
      <c r="B7" s="14" t="n">
        <v>75000</v>
      </c>
      <c r="C7" s="4" t="s">
        <v>31</v>
      </c>
    </row>
    <row r="9" customFormat="false" ht="15" hidden="false" customHeight="true" outlineLevel="0" collapsed="false">
      <c r="A9" s="12" t="s">
        <v>32</v>
      </c>
      <c r="B9" s="12"/>
      <c r="C9" s="12"/>
      <c r="D9" s="12"/>
      <c r="E9" s="12"/>
    </row>
    <row r="10" customFormat="false" ht="15" hidden="false" customHeight="true" outlineLevel="0" collapsed="false">
      <c r="A10" s="1" t="s">
        <v>33</v>
      </c>
      <c r="B10" s="15" t="s">
        <v>26</v>
      </c>
      <c r="C10" s="15" t="s">
        <v>28</v>
      </c>
      <c r="D10" s="15" t="s">
        <v>30</v>
      </c>
    </row>
    <row r="11" customFormat="false" ht="15" hidden="false" customHeight="true" outlineLevel="0" collapsed="false">
      <c r="A11" s="1" t="s">
        <v>34</v>
      </c>
      <c r="B11" s="16" t="n">
        <v>0.04</v>
      </c>
      <c r="C11" s="16" t="n">
        <v>0.07</v>
      </c>
      <c r="D11" s="16" t="n">
        <v>0.1</v>
      </c>
    </row>
    <row r="12" customFormat="false" ht="15" hidden="false" customHeight="true" outlineLevel="0" collapsed="false">
      <c r="A12" s="1" t="s">
        <v>35</v>
      </c>
      <c r="B12" s="17" t="n">
        <v>0.22</v>
      </c>
      <c r="C12" s="17" t="n">
        <v>0.22</v>
      </c>
      <c r="D12" s="17" t="n">
        <v>0.22</v>
      </c>
    </row>
    <row r="14" customFormat="false" ht="15" hidden="false" customHeight="true" outlineLevel="0" collapsed="false">
      <c r="A14" s="12" t="s">
        <v>36</v>
      </c>
      <c r="B14" s="12"/>
      <c r="C14" s="12"/>
      <c r="D14" s="12"/>
      <c r="E14" s="12"/>
    </row>
    <row r="15" customFormat="false" ht="15" hidden="false" customHeight="true" outlineLevel="0" collapsed="false">
      <c r="A15" s="1" t="s">
        <v>37</v>
      </c>
      <c r="B15" s="15" t="s">
        <v>26</v>
      </c>
      <c r="C15" s="15" t="s">
        <v>28</v>
      </c>
      <c r="D15" s="15" t="s">
        <v>30</v>
      </c>
    </row>
    <row r="16" customFormat="false" ht="15" hidden="false" customHeight="true" outlineLevel="0" collapsed="false">
      <c r="A16" s="1" t="s">
        <v>38</v>
      </c>
      <c r="B16" s="16" t="n">
        <v>0.022</v>
      </c>
      <c r="C16" s="16" t="n">
        <v>0.035</v>
      </c>
      <c r="D16" s="16" t="n">
        <v>0.05</v>
      </c>
    </row>
    <row r="17" customFormat="false" ht="15" hidden="false" customHeight="true" outlineLevel="0" collapsed="false">
      <c r="A17" s="1" t="s">
        <v>39</v>
      </c>
      <c r="B17" s="17" t="n">
        <v>0.18</v>
      </c>
      <c r="C17" s="17" t="n">
        <v>0.18</v>
      </c>
      <c r="D17" s="17" t="n">
        <v>0.18</v>
      </c>
    </row>
    <row r="19" customFormat="false" ht="15" hidden="false" customHeight="true" outlineLevel="0" collapsed="false">
      <c r="A19" s="12" t="s">
        <v>40</v>
      </c>
      <c r="B19" s="12"/>
      <c r="C19" s="12"/>
      <c r="D19" s="12"/>
      <c r="E19" s="12"/>
    </row>
    <row r="20" customFormat="false" ht="15" hidden="false" customHeight="true" outlineLevel="0" collapsed="false">
      <c r="A20" s="13" t="s">
        <v>41</v>
      </c>
      <c r="B20" s="13" t="s">
        <v>42</v>
      </c>
    </row>
    <row r="21" customFormat="false" ht="15" hidden="false" customHeight="true" outlineLevel="0" collapsed="false">
      <c r="A21" s="4" t="s">
        <v>43</v>
      </c>
      <c r="B21" s="18" t="n">
        <v>1.99</v>
      </c>
    </row>
    <row r="22" customFormat="false" ht="15" hidden="false" customHeight="true" outlineLevel="0" collapsed="false">
      <c r="A22" s="4" t="s">
        <v>44</v>
      </c>
      <c r="B22" s="18" t="n">
        <v>4.99</v>
      </c>
    </row>
    <row r="23" customFormat="false" ht="15" hidden="false" customHeight="true" outlineLevel="0" collapsed="false">
      <c r="A23" s="4" t="s">
        <v>45</v>
      </c>
      <c r="B23" s="18" t="n">
        <v>9.99</v>
      </c>
    </row>
    <row r="25" customFormat="false" ht="15" hidden="false" customHeight="true" outlineLevel="0" collapsed="false">
      <c r="A25" s="12" t="s">
        <v>46</v>
      </c>
      <c r="B25" s="12"/>
      <c r="C25" s="12"/>
      <c r="D25" s="12"/>
      <c r="E25" s="12"/>
    </row>
    <row r="26" customFormat="false" ht="15" hidden="false" customHeight="true" outlineLevel="0" collapsed="false">
      <c r="A26" s="13" t="s">
        <v>41</v>
      </c>
      <c r="B26" s="13" t="s">
        <v>47</v>
      </c>
      <c r="C26" s="13" t="s">
        <v>48</v>
      </c>
    </row>
    <row r="27" customFormat="false" ht="15" hidden="false" customHeight="true" outlineLevel="0" collapsed="false">
      <c r="A27" s="4" t="s">
        <v>49</v>
      </c>
      <c r="B27" s="17" t="n">
        <v>0.35</v>
      </c>
      <c r="C27" s="4" t="s">
        <v>50</v>
      </c>
    </row>
    <row r="28" customFormat="false" ht="15" hidden="false" customHeight="true" outlineLevel="0" collapsed="false">
      <c r="A28" s="4" t="s">
        <v>51</v>
      </c>
      <c r="B28" s="17" t="n">
        <v>0.25</v>
      </c>
      <c r="C28" s="4" t="s">
        <v>52</v>
      </c>
    </row>
    <row r="29" customFormat="false" ht="15" hidden="false" customHeight="true" outlineLevel="0" collapsed="false">
      <c r="A29" s="4" t="s">
        <v>53</v>
      </c>
      <c r="B29" s="17" t="n">
        <v>0.18</v>
      </c>
      <c r="C29" s="4" t="s">
        <v>54</v>
      </c>
    </row>
    <row r="31" customFormat="false" ht="15" hidden="false" customHeight="true" outlineLevel="0" collapsed="false">
      <c r="A31" s="12" t="s">
        <v>55</v>
      </c>
      <c r="B31" s="12"/>
      <c r="C31" s="12"/>
      <c r="D31" s="12"/>
      <c r="E31" s="12"/>
    </row>
    <row r="32" customFormat="false" ht="15" hidden="false" customHeight="true" outlineLevel="0" collapsed="false">
      <c r="A32" s="1" t="s">
        <v>56</v>
      </c>
      <c r="B32" s="17" t="n">
        <v>0.06</v>
      </c>
      <c r="C32" s="4" t="s">
        <v>57</v>
      </c>
    </row>
    <row r="33" customFormat="false" ht="15" hidden="false" customHeight="true" outlineLevel="0" collapsed="false">
      <c r="A33" s="1" t="s">
        <v>58</v>
      </c>
      <c r="B33" s="17" t="n">
        <v>0.01</v>
      </c>
      <c r="C33" s="4" t="s">
        <v>59</v>
      </c>
    </row>
    <row r="34" customFormat="false" ht="15" hidden="false" customHeight="true" outlineLevel="0" collapsed="false">
      <c r="A34" s="1" t="s">
        <v>60</v>
      </c>
      <c r="B34" s="17" t="n">
        <v>0.035</v>
      </c>
      <c r="C34" s="4" t="s">
        <v>61</v>
      </c>
    </row>
    <row r="36" customFormat="false" ht="15" hidden="false" customHeight="true" outlineLevel="0" collapsed="false">
      <c r="A36" s="12" t="s">
        <v>62</v>
      </c>
      <c r="B36" s="12"/>
      <c r="C36" s="12"/>
      <c r="D36" s="12"/>
      <c r="E36" s="12"/>
    </row>
    <row r="37" customFormat="false" ht="15" hidden="false" customHeight="true" outlineLevel="0" collapsed="false">
      <c r="A37" s="1" t="s">
        <v>63</v>
      </c>
      <c r="B37" s="16" t="n">
        <v>0.15</v>
      </c>
      <c r="C37" s="4" t="s">
        <v>64</v>
      </c>
    </row>
    <row r="38" customFormat="false" ht="15" hidden="false" customHeight="true" outlineLevel="0" collapsed="false">
      <c r="A38" s="1" t="s">
        <v>65</v>
      </c>
      <c r="B38" s="17" t="n">
        <v>0.5</v>
      </c>
      <c r="C38" s="4" t="s">
        <v>66</v>
      </c>
    </row>
  </sheetData>
  <mergeCells count="8">
    <mergeCell ref="A1:E1"/>
    <mergeCell ref="A3:E3"/>
    <mergeCell ref="A9:E9"/>
    <mergeCell ref="A14:E14"/>
    <mergeCell ref="A19:E19"/>
    <mergeCell ref="A25:E25"/>
    <mergeCell ref="A31:E31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45"/>
  </cols>
  <sheetData>
    <row r="1" customFormat="false" ht="1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9" t="s">
        <v>67</v>
      </c>
    </row>
    <row r="4" customFormat="false" ht="15" hidden="false" customHeight="true" outlineLevel="0" collapsed="false">
      <c r="A4" s="15" t="s">
        <v>68</v>
      </c>
      <c r="B4" s="15" t="s">
        <v>26</v>
      </c>
      <c r="C4" s="15" t="s">
        <v>28</v>
      </c>
      <c r="D4" s="15" t="s">
        <v>30</v>
      </c>
      <c r="E4" s="15" t="s">
        <v>69</v>
      </c>
    </row>
    <row r="5" customFormat="false" ht="15" hidden="false" customHeight="true" outlineLevel="0" collapsed="false">
      <c r="A5" s="1" t="s">
        <v>70</v>
      </c>
      <c r="B5" s="20" t="n">
        <f aca="false">Inputs!B5</f>
        <v>10000</v>
      </c>
      <c r="C5" s="20" t="n">
        <f aca="false">Inputs!B6</f>
        <v>30000</v>
      </c>
      <c r="D5" s="20" t="n">
        <f aca="false">Inputs!B7</f>
        <v>75000</v>
      </c>
      <c r="E5" s="1" t="s">
        <v>71</v>
      </c>
    </row>
    <row r="6" customFormat="false" ht="15" hidden="false" customHeight="true" outlineLevel="0" collapsed="false">
      <c r="A6" s="1" t="s">
        <v>33</v>
      </c>
      <c r="B6" s="21" t="n">
        <f aca="false">Inputs!B11</f>
        <v>0.04</v>
      </c>
      <c r="C6" s="21" t="n">
        <f aca="false">Inputs!C11</f>
        <v>0.07</v>
      </c>
      <c r="D6" s="21" t="n">
        <f aca="false">Inputs!D11</f>
        <v>0.1</v>
      </c>
      <c r="E6" s="1" t="s">
        <v>71</v>
      </c>
    </row>
    <row r="7" customFormat="false" ht="15" hidden="false" customHeight="true" outlineLevel="0" collapsed="false">
      <c r="A7" s="1" t="s">
        <v>72</v>
      </c>
      <c r="B7" s="22" t="n">
        <f aca="false">B5*B6</f>
        <v>400</v>
      </c>
      <c r="C7" s="22" t="n">
        <f aca="false">C5*C6</f>
        <v>2100</v>
      </c>
      <c r="D7" s="22" t="n">
        <f aca="false">D5*D6</f>
        <v>7500</v>
      </c>
      <c r="E7" s="1" t="s">
        <v>73</v>
      </c>
    </row>
    <row r="8" customFormat="false" ht="15" hidden="false" customHeight="true" outlineLevel="0" collapsed="false">
      <c r="A8" s="1" t="s">
        <v>74</v>
      </c>
      <c r="B8" s="21" t="n">
        <f aca="false">Inputs!B12</f>
        <v>0.22</v>
      </c>
      <c r="C8" s="21" t="n">
        <f aca="false">Inputs!C12</f>
        <v>0.22</v>
      </c>
      <c r="D8" s="21" t="n">
        <f aca="false">Inputs!D12</f>
        <v>0.22</v>
      </c>
      <c r="E8" s="1" t="s">
        <v>71</v>
      </c>
    </row>
    <row r="9" customFormat="false" ht="15" hidden="false" customHeight="true" outlineLevel="0" collapsed="false">
      <c r="A9" s="1" t="s">
        <v>75</v>
      </c>
      <c r="B9" s="22" t="n">
        <f aca="false">B7*B8</f>
        <v>88</v>
      </c>
      <c r="C9" s="22" t="n">
        <f aca="false">C7*C8</f>
        <v>462</v>
      </c>
      <c r="D9" s="22" t="n">
        <f aca="false">D7*D8</f>
        <v>1650</v>
      </c>
      <c r="E9" s="1" t="s">
        <v>76</v>
      </c>
    </row>
    <row r="10" customFormat="false" ht="15" hidden="false" customHeight="true" outlineLevel="0" collapsed="false">
      <c r="A10" s="1" t="s">
        <v>77</v>
      </c>
      <c r="B10" s="22" t="n">
        <f aca="false">B7-B9</f>
        <v>312</v>
      </c>
      <c r="C10" s="22" t="n">
        <f aca="false">C7-C9</f>
        <v>1638</v>
      </c>
      <c r="D10" s="22" t="n">
        <f aca="false">D7-D9</f>
        <v>5850</v>
      </c>
      <c r="E10" s="1" t="s">
        <v>78</v>
      </c>
    </row>
    <row r="12" customFormat="false" ht="15" hidden="false" customHeight="true" outlineLevel="0" collapsed="false">
      <c r="A12" s="3" t="s">
        <v>79</v>
      </c>
      <c r="B12" s="23" t="n">
        <f aca="false">B7*Inputs!$B$21*6</f>
        <v>4776</v>
      </c>
      <c r="C12" s="23" t="n">
        <f aca="false">C7*Inputs!$B$21*6</f>
        <v>25074</v>
      </c>
      <c r="D12" s="23" t="n">
        <f aca="false">D7*Inputs!$B$21*6</f>
        <v>89550</v>
      </c>
      <c r="E12" s="1" t="s">
        <v>80</v>
      </c>
    </row>
    <row r="13" customFormat="false" ht="15" hidden="false" customHeight="true" outlineLevel="0" collapsed="false">
      <c r="A13" s="1" t="s">
        <v>81</v>
      </c>
      <c r="B13" s="23" t="n">
        <f aca="false">B10*Inputs!$B$21*6</f>
        <v>3725.28</v>
      </c>
      <c r="C13" s="23" t="n">
        <f aca="false">C10*Inputs!$B$21*6</f>
        <v>19557.72</v>
      </c>
      <c r="D13" s="23" t="n">
        <f aca="false">D10*Inputs!$B$21*6</f>
        <v>69849</v>
      </c>
      <c r="E13" s="1" t="s">
        <v>82</v>
      </c>
    </row>
    <row r="14" customFormat="false" ht="15" hidden="false" customHeight="true" outlineLevel="0" collapsed="false">
      <c r="A14" s="1" t="s">
        <v>83</v>
      </c>
      <c r="B14" s="23" t="n">
        <f aca="false">B9*Inputs!$B$22*6</f>
        <v>2634.72</v>
      </c>
      <c r="C14" s="23" t="n">
        <f aca="false">C9*Inputs!$B$22*6</f>
        <v>13832.28</v>
      </c>
      <c r="D14" s="23" t="n">
        <f aca="false">D9*Inputs!$B$22*6</f>
        <v>49401</v>
      </c>
      <c r="E14" s="1" t="s">
        <v>84</v>
      </c>
    </row>
    <row r="15" customFormat="false" ht="15" hidden="false" customHeight="true" outlineLevel="0" collapsed="false">
      <c r="A15" s="3" t="s">
        <v>85</v>
      </c>
      <c r="B15" s="24" t="n">
        <f aca="false">SUM(B12:B14)</f>
        <v>11136</v>
      </c>
      <c r="C15" s="24" t="n">
        <f aca="false">SUM(C12:C14)</f>
        <v>58464</v>
      </c>
      <c r="D15" s="24" t="n">
        <f aca="false">SUM(D12:D14)</f>
        <v>208800</v>
      </c>
    </row>
    <row r="17" customFormat="false" ht="15" hidden="false" customHeight="true" outlineLevel="0" collapsed="false">
      <c r="A17" s="3" t="s">
        <v>86</v>
      </c>
      <c r="B17" s="25" t="n">
        <f aca="false">((1-((B10*Inputs!$B$27+B9*Inputs!$B$28)/(B10+B9))*Inputs!$B$38))</f>
        <v>0.836</v>
      </c>
      <c r="C17" s="25" t="n">
        <f aca="false">((1-((C10*Inputs!$B$27+C9*Inputs!$B$28)/(C10+C9))*Inputs!$B$38))</f>
        <v>0.836</v>
      </c>
      <c r="D17" s="25" t="n">
        <f aca="false">((1-((D10*Inputs!$B$27+D9*Inputs!$B$28)/(D10+D9))*Inputs!$B$38))</f>
        <v>0.836</v>
      </c>
      <c r="E17" s="1" t="s">
        <v>87</v>
      </c>
    </row>
    <row r="18" customFormat="false" ht="15" hidden="false" customHeight="true" outlineLevel="0" collapsed="false">
      <c r="A18" s="1" t="s">
        <v>88</v>
      </c>
      <c r="B18" s="23" t="n">
        <f aca="false">B15*B17</f>
        <v>9309.696</v>
      </c>
      <c r="C18" s="23" t="n">
        <f aca="false">C15*C17</f>
        <v>48875.904</v>
      </c>
      <c r="D18" s="23" t="n">
        <f aca="false">D15*D17</f>
        <v>174556.8</v>
      </c>
    </row>
    <row r="19" customFormat="false" ht="15" hidden="false" customHeight="true" outlineLevel="0" collapsed="false">
      <c r="A19" s="1" t="s">
        <v>89</v>
      </c>
      <c r="B19" s="25" t="n">
        <f aca="false">((B10*Inputs!$B$33+B9*Inputs!$B$34)/(B10+B9))</f>
        <v>0.0155</v>
      </c>
      <c r="C19" s="25" t="n">
        <f aca="false">((C10*Inputs!$B$33+C9*Inputs!$B$34)/(C10+C9))</f>
        <v>0.0155</v>
      </c>
      <c r="D19" s="25" t="n">
        <f aca="false">((D10*Inputs!$B$33+D9*Inputs!$B$34)/(D10+D9))</f>
        <v>0.0155</v>
      </c>
      <c r="E19" s="1" t="s">
        <v>90</v>
      </c>
    </row>
    <row r="20" customFormat="false" ht="15" hidden="false" customHeight="true" outlineLevel="0" collapsed="false">
      <c r="A20" s="1" t="s">
        <v>91</v>
      </c>
      <c r="B20" s="23" t="n">
        <f aca="false">B18*(1-B19)</f>
        <v>9165.395712</v>
      </c>
      <c r="C20" s="23" t="n">
        <f aca="false">C18*(1-C19)</f>
        <v>48118.327488</v>
      </c>
      <c r="D20" s="23" t="n">
        <f aca="false">D18*(1-D19)</f>
        <v>171851.1696</v>
      </c>
    </row>
    <row r="21" customFormat="false" ht="15" hidden="false" customHeight="true" outlineLevel="0" collapsed="false">
      <c r="A21" s="1" t="s">
        <v>92</v>
      </c>
      <c r="B21" s="23" t="n">
        <f aca="false">B20*(1-Inputs!$B$32)</f>
        <v>8615.47196928</v>
      </c>
      <c r="C21" s="23" t="n">
        <f aca="false">C20*(1-Inputs!$B$32)</f>
        <v>45231.22783872</v>
      </c>
      <c r="D21" s="23" t="n">
        <f aca="false">D20*(1-Inputs!$B$32)</f>
        <v>161540.099424</v>
      </c>
    </row>
    <row r="23" customFormat="false" ht="15" hidden="false" customHeight="true" outlineLevel="0" collapsed="false">
      <c r="A23" s="10" t="s">
        <v>93</v>
      </c>
      <c r="B23" s="26" t="n">
        <f aca="false">B21</f>
        <v>8615.47196928</v>
      </c>
      <c r="C23" s="26" t="n">
        <f aca="false">C21</f>
        <v>45231.22783872</v>
      </c>
      <c r="D23" s="26" t="n">
        <f aca="false">D21</f>
        <v>161540.099424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45"/>
  </cols>
  <sheetData>
    <row r="1" customFormat="false" ht="15" hidden="false" customHeight="true" outlineLevel="0" collapsed="false">
      <c r="A1" s="11" t="s">
        <v>36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9" t="s">
        <v>67</v>
      </c>
    </row>
    <row r="4" customFormat="false" ht="15" hidden="false" customHeight="true" outlineLevel="0" collapsed="false">
      <c r="A4" s="15" t="s">
        <v>68</v>
      </c>
      <c r="B4" s="15" t="s">
        <v>26</v>
      </c>
      <c r="C4" s="15" t="s">
        <v>28</v>
      </c>
      <c r="D4" s="15" t="s">
        <v>30</v>
      </c>
      <c r="E4" s="15" t="s">
        <v>69</v>
      </c>
    </row>
    <row r="5" customFormat="false" ht="15" hidden="false" customHeight="true" outlineLevel="0" collapsed="false">
      <c r="A5" s="1" t="s">
        <v>94</v>
      </c>
      <c r="B5" s="20" t="n">
        <f aca="false">Inputs!B5</f>
        <v>10000</v>
      </c>
      <c r="C5" s="20" t="n">
        <f aca="false">Inputs!B6</f>
        <v>30000</v>
      </c>
      <c r="D5" s="20" t="n">
        <f aca="false">Inputs!B7</f>
        <v>75000</v>
      </c>
      <c r="E5" s="1" t="s">
        <v>71</v>
      </c>
    </row>
    <row r="6" customFormat="false" ht="15" hidden="false" customHeight="true" outlineLevel="0" collapsed="false">
      <c r="A6" s="1" t="s">
        <v>95</v>
      </c>
      <c r="B6" s="21" t="n">
        <f aca="false">Inputs!$B$37</f>
        <v>0.15</v>
      </c>
      <c r="C6" s="21" t="n">
        <f aca="false">Inputs!$B$37</f>
        <v>0.15</v>
      </c>
      <c r="D6" s="21" t="n">
        <f aca="false">Inputs!$B$37</f>
        <v>0.15</v>
      </c>
    </row>
    <row r="7" customFormat="false" ht="15" hidden="false" customHeight="true" outlineLevel="0" collapsed="false">
      <c r="A7" s="1" t="s">
        <v>96</v>
      </c>
      <c r="B7" s="22" t="n">
        <f aca="false">B5*(1-B6)</f>
        <v>8500</v>
      </c>
      <c r="C7" s="22" t="n">
        <f aca="false">C5*(1-C6)</f>
        <v>25500</v>
      </c>
      <c r="D7" s="22" t="n">
        <f aca="false">D5*(1-D6)</f>
        <v>63750</v>
      </c>
      <c r="E7" s="1" t="s">
        <v>97</v>
      </c>
    </row>
    <row r="8" customFormat="false" ht="15" hidden="false" customHeight="true" outlineLevel="0" collapsed="false">
      <c r="A8" s="1" t="s">
        <v>37</v>
      </c>
      <c r="B8" s="21" t="n">
        <f aca="false">Inputs!B16</f>
        <v>0.022</v>
      </c>
      <c r="C8" s="21" t="n">
        <f aca="false">Inputs!C16</f>
        <v>0.035</v>
      </c>
      <c r="D8" s="21" t="n">
        <f aca="false">Inputs!D16</f>
        <v>0.05</v>
      </c>
      <c r="E8" s="1" t="s">
        <v>71</v>
      </c>
    </row>
    <row r="9" customFormat="false" ht="15" hidden="false" customHeight="true" outlineLevel="0" collapsed="false">
      <c r="A9" s="1" t="s">
        <v>98</v>
      </c>
      <c r="B9" s="22" t="n">
        <f aca="false">B7*B8</f>
        <v>187</v>
      </c>
      <c r="C9" s="22" t="n">
        <f aca="false">C7*C8</f>
        <v>892.5</v>
      </c>
      <c r="D9" s="22" t="n">
        <f aca="false">D7*D8</f>
        <v>3187.5</v>
      </c>
      <c r="E9" s="1" t="s">
        <v>99</v>
      </c>
    </row>
    <row r="10" customFormat="false" ht="15" hidden="false" customHeight="true" outlineLevel="0" collapsed="false">
      <c r="A10" s="1" t="s">
        <v>100</v>
      </c>
      <c r="B10" s="21" t="n">
        <f aca="false">Inputs!B17</f>
        <v>0.18</v>
      </c>
      <c r="C10" s="21" t="n">
        <f aca="false">Inputs!C17</f>
        <v>0.18</v>
      </c>
      <c r="D10" s="21" t="n">
        <f aca="false">Inputs!D17</f>
        <v>0.18</v>
      </c>
      <c r="E10" s="1" t="s">
        <v>71</v>
      </c>
    </row>
    <row r="11" customFormat="false" ht="15" hidden="false" customHeight="true" outlineLevel="0" collapsed="false">
      <c r="A11" s="1" t="s">
        <v>101</v>
      </c>
      <c r="B11" s="22" t="n">
        <f aca="false">B9*B10</f>
        <v>33.66</v>
      </c>
      <c r="C11" s="22" t="n">
        <f aca="false">C9*C10</f>
        <v>160.65</v>
      </c>
      <c r="D11" s="22" t="n">
        <f aca="false">D9*D10</f>
        <v>573.75</v>
      </c>
      <c r="E11" s="1" t="s">
        <v>102</v>
      </c>
    </row>
    <row r="12" customFormat="false" ht="15" hidden="false" customHeight="true" outlineLevel="0" collapsed="false">
      <c r="A12" s="1" t="s">
        <v>103</v>
      </c>
      <c r="B12" s="22" t="n">
        <f aca="false">B9-B11</f>
        <v>153.34</v>
      </c>
      <c r="C12" s="22" t="n">
        <f aca="false">C9-C11</f>
        <v>731.85</v>
      </c>
      <c r="D12" s="22" t="n">
        <f aca="false">D9-D11</f>
        <v>2613.75</v>
      </c>
      <c r="E12" s="1" t="s">
        <v>104</v>
      </c>
    </row>
    <row r="14" customFormat="false" ht="15" hidden="false" customHeight="true" outlineLevel="0" collapsed="false">
      <c r="A14" s="3" t="s">
        <v>105</v>
      </c>
      <c r="B14" s="23" t="n">
        <f aca="false">B9*Inputs!$B$22*6</f>
        <v>5598.78</v>
      </c>
      <c r="C14" s="23" t="n">
        <f aca="false">C9*Inputs!$B$22*6</f>
        <v>26721.45</v>
      </c>
      <c r="D14" s="23" t="n">
        <f aca="false">D9*Inputs!$B$22*6</f>
        <v>95433.75</v>
      </c>
    </row>
    <row r="15" customFormat="false" ht="15" hidden="false" customHeight="true" outlineLevel="0" collapsed="false">
      <c r="A15" s="1" t="s">
        <v>106</v>
      </c>
      <c r="B15" s="23" t="n">
        <f aca="false">B12*Inputs!$B$22*6</f>
        <v>4590.9996</v>
      </c>
      <c r="C15" s="23" t="n">
        <f aca="false">C12*Inputs!$B$22*6</f>
        <v>21911.589</v>
      </c>
      <c r="D15" s="23" t="n">
        <f aca="false">D12*Inputs!$B$22*6</f>
        <v>78255.675</v>
      </c>
    </row>
    <row r="16" customFormat="false" ht="15" hidden="false" customHeight="true" outlineLevel="0" collapsed="false">
      <c r="A16" s="1" t="s">
        <v>107</v>
      </c>
      <c r="B16" s="23" t="n">
        <f aca="false">B11*Inputs!$B$23*6</f>
        <v>2017.5804</v>
      </c>
      <c r="C16" s="23" t="n">
        <f aca="false">C11*Inputs!$B$23*6</f>
        <v>9629.361</v>
      </c>
      <c r="D16" s="23" t="n">
        <f aca="false">D11*Inputs!$B$23*6</f>
        <v>34390.575</v>
      </c>
    </row>
    <row r="17" customFormat="false" ht="15" hidden="false" customHeight="true" outlineLevel="0" collapsed="false">
      <c r="A17" s="3" t="s">
        <v>85</v>
      </c>
      <c r="B17" s="24" t="n">
        <f aca="false">SUM(B14:B16)</f>
        <v>12207.36</v>
      </c>
      <c r="C17" s="24" t="n">
        <f aca="false">SUM(C14:C16)</f>
        <v>58262.4</v>
      </c>
      <c r="D17" s="24" t="n">
        <f aca="false">SUM(D14:D16)</f>
        <v>208080</v>
      </c>
    </row>
    <row r="19" customFormat="false" ht="15" hidden="false" customHeight="true" outlineLevel="0" collapsed="false">
      <c r="A19" s="3" t="s">
        <v>86</v>
      </c>
      <c r="B19" s="25" t="n">
        <f aca="false">(1-((B12*Inputs!$B$28+B11*Inputs!$B$29)/(B12+B11))*Inputs!$B$38)</f>
        <v>0.8813</v>
      </c>
      <c r="C19" s="25" t="n">
        <f aca="false">(1-((C12*Inputs!$B$28+C11*Inputs!$B$29)/(C12+C11))*Inputs!$B$38)</f>
        <v>0.8813</v>
      </c>
      <c r="D19" s="25" t="n">
        <f aca="false">(1-((D12*Inputs!$B$28+D11*Inputs!$B$29)/(D12+D11))*Inputs!$B$38)</f>
        <v>0.8813</v>
      </c>
    </row>
    <row r="20" customFormat="false" ht="15" hidden="false" customHeight="true" outlineLevel="0" collapsed="false">
      <c r="A20" s="1" t="s">
        <v>88</v>
      </c>
      <c r="B20" s="23" t="n">
        <f aca="false">B17*B19</f>
        <v>10758.346368</v>
      </c>
      <c r="C20" s="23" t="n">
        <f aca="false">C17*C19</f>
        <v>51346.65312</v>
      </c>
      <c r="D20" s="23" t="n">
        <f aca="false">D17*D19</f>
        <v>183380.904</v>
      </c>
    </row>
    <row r="21" customFormat="false" ht="15" hidden="false" customHeight="true" outlineLevel="0" collapsed="false">
      <c r="A21" s="1" t="s">
        <v>108</v>
      </c>
      <c r="B21" s="21" t="n">
        <f aca="false">Inputs!$B$34</f>
        <v>0.035</v>
      </c>
      <c r="C21" s="21" t="n">
        <f aca="false">Inputs!$B$34</f>
        <v>0.035</v>
      </c>
      <c r="D21" s="21" t="n">
        <f aca="false">Inputs!$B$34</f>
        <v>0.035</v>
      </c>
    </row>
    <row r="22" customFormat="false" ht="15" hidden="false" customHeight="true" outlineLevel="0" collapsed="false">
      <c r="A22" s="1" t="s">
        <v>91</v>
      </c>
      <c r="B22" s="23" t="n">
        <f aca="false">B20*(1-B21)</f>
        <v>10381.80424512</v>
      </c>
      <c r="C22" s="23" t="n">
        <f aca="false">C20*(1-C21)</f>
        <v>49549.5202608</v>
      </c>
      <c r="D22" s="23" t="n">
        <f aca="false">D20*(1-D21)</f>
        <v>176962.57236</v>
      </c>
    </row>
    <row r="23" customFormat="false" ht="15" hidden="false" customHeight="true" outlineLevel="0" collapsed="false">
      <c r="A23" s="1" t="s">
        <v>92</v>
      </c>
      <c r="B23" s="23" t="n">
        <f aca="false">B22*(1-Inputs!$B$32)</f>
        <v>9758.8959904128</v>
      </c>
      <c r="C23" s="23" t="n">
        <f aca="false">C22*(1-Inputs!$B$32)</f>
        <v>46576.549045152</v>
      </c>
      <c r="D23" s="23" t="n">
        <f aca="false">D22*(1-Inputs!$B$32)</f>
        <v>166344.8180184</v>
      </c>
    </row>
    <row r="25" customFormat="false" ht="15" hidden="false" customHeight="true" outlineLevel="0" collapsed="false">
      <c r="A25" s="10" t="s">
        <v>109</v>
      </c>
      <c r="B25" s="26" t="n">
        <f aca="false">B23</f>
        <v>9758.8959904128</v>
      </c>
      <c r="C25" s="26" t="n">
        <f aca="false">C23</f>
        <v>46576.549045152</v>
      </c>
      <c r="D25" s="26" t="n">
        <f aca="false">D23</f>
        <v>166344.8180184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18"/>
  </cols>
  <sheetData>
    <row r="1" customFormat="false" ht="15" hidden="false" customHeight="true" outlineLevel="0" collapsed="false">
      <c r="A1" s="11" t="s">
        <v>110</v>
      </c>
      <c r="B1" s="11"/>
      <c r="C1" s="11"/>
      <c r="D1" s="11"/>
      <c r="E1" s="11"/>
      <c r="F1" s="11"/>
    </row>
    <row r="3" customFormat="false" ht="15" hidden="false" customHeight="true" outlineLevel="0" collapsed="false">
      <c r="A3" s="12" t="s">
        <v>111</v>
      </c>
      <c r="B3" s="12"/>
      <c r="C3" s="12"/>
      <c r="D3" s="12"/>
      <c r="E3" s="12"/>
      <c r="F3" s="12"/>
    </row>
    <row r="4" customFormat="false" ht="15" hidden="false" customHeight="true" outlineLevel="0" collapsed="false">
      <c r="A4" s="15" t="s">
        <v>23</v>
      </c>
      <c r="B4" s="15" t="s">
        <v>112</v>
      </c>
      <c r="C4" s="15" t="s">
        <v>113</v>
      </c>
      <c r="D4" s="15" t="s">
        <v>114</v>
      </c>
    </row>
    <row r="5" customFormat="false" ht="15" hidden="false" customHeight="true" outlineLevel="0" collapsed="false">
      <c r="A5" s="1" t="s">
        <v>115</v>
      </c>
      <c r="B5" s="27" t="n">
        <f aca="false">ScenarioA!B23</f>
        <v>8615.47196928</v>
      </c>
      <c r="C5" s="27" t="n">
        <f aca="false">ScenarioA!C23</f>
        <v>45231.22783872</v>
      </c>
      <c r="D5" s="27" t="n">
        <f aca="false">ScenarioA!D23</f>
        <v>161540.099424</v>
      </c>
    </row>
    <row r="6" customFormat="false" ht="15" hidden="false" customHeight="true" outlineLevel="0" collapsed="false">
      <c r="A6" s="1" t="s">
        <v>116</v>
      </c>
      <c r="B6" s="27" t="n">
        <f aca="false">ScenarioB!B25</f>
        <v>9758.8959904128</v>
      </c>
      <c r="C6" s="27" t="n">
        <f aca="false">ScenarioB!C25</f>
        <v>46576.549045152</v>
      </c>
      <c r="D6" s="27" t="n">
        <f aca="false">ScenarioB!D25</f>
        <v>166344.8180184</v>
      </c>
    </row>
    <row r="7" customFormat="false" ht="15" hidden="false" customHeight="true" outlineLevel="0" collapsed="false">
      <c r="A7" s="1" t="s">
        <v>117</v>
      </c>
      <c r="B7" s="28" t="n">
        <f aca="false">B6-B5</f>
        <v>1143.4240211328</v>
      </c>
      <c r="C7" s="28" t="n">
        <f aca="false">C6-C5</f>
        <v>1345.321206432</v>
      </c>
      <c r="D7" s="28" t="n">
        <f aca="false">D6-D5</f>
        <v>4804.71859439998</v>
      </c>
    </row>
    <row r="8" customFormat="false" ht="15" hidden="false" customHeight="true" outlineLevel="0" collapsed="false">
      <c r="A8" s="1" t="s">
        <v>118</v>
      </c>
      <c r="B8" s="29" t="n">
        <f aca="false">(B6-B5)/B5</f>
        <v>0.13271751393422</v>
      </c>
      <c r="C8" s="29" t="n">
        <f aca="false">(C6-C5)/C5</f>
        <v>0.0297431944856546</v>
      </c>
      <c r="D8" s="29" t="n">
        <f aca="false">(D6-D5)/D5</f>
        <v>0.0297431944856544</v>
      </c>
    </row>
    <row r="9" customFormat="false" ht="15" hidden="false" customHeight="true" outlineLevel="0" collapsed="false">
      <c r="A9" s="1" t="s">
        <v>119</v>
      </c>
      <c r="B9" s="30" t="str">
        <f aca="false">IF(B5&gt;B6,"Scenario A",IF(B6&gt;B5,"Scenario B","Tie"))</f>
        <v>Scenario B</v>
      </c>
      <c r="C9" s="30" t="str">
        <f aca="false">IF(C5&gt;C6,"Scenario A",IF(C6&gt;C5,"Scenario B","Tie"))</f>
        <v>Scenario B</v>
      </c>
      <c r="D9" s="30" t="str">
        <f aca="false">IF(D5&gt;D6,"Scenario A",IF(D6&gt;D5,"Scenario B","Tie"))</f>
        <v>Scenario B</v>
      </c>
    </row>
    <row r="11" customFormat="false" ht="15" hidden="false" customHeight="true" outlineLevel="0" collapsed="false">
      <c r="A11" s="12" t="s">
        <v>120</v>
      </c>
      <c r="B11" s="12"/>
      <c r="C11" s="12"/>
      <c r="D11" s="12"/>
      <c r="E11" s="12"/>
      <c r="F11" s="12"/>
    </row>
    <row r="12" customFormat="false" ht="15" hidden="false" customHeight="true" outlineLevel="0" collapsed="false">
      <c r="A12" s="15" t="s">
        <v>68</v>
      </c>
      <c r="B12" s="15" t="s">
        <v>26</v>
      </c>
      <c r="C12" s="15" t="s">
        <v>28</v>
      </c>
      <c r="D12" s="15" t="s">
        <v>30</v>
      </c>
    </row>
    <row r="13" customFormat="false" ht="15" hidden="false" customHeight="true" outlineLevel="0" collapsed="false">
      <c r="A13" s="1" t="s">
        <v>121</v>
      </c>
      <c r="B13" s="20" t="n">
        <f aca="false">ScenarioA!B7</f>
        <v>400</v>
      </c>
      <c r="C13" s="20" t="n">
        <f aca="false">ScenarioA!C7</f>
        <v>2100</v>
      </c>
      <c r="D13" s="20" t="n">
        <f aca="false">ScenarioA!D7</f>
        <v>7500</v>
      </c>
    </row>
    <row r="14" customFormat="false" ht="15" hidden="false" customHeight="true" outlineLevel="0" collapsed="false">
      <c r="A14" s="1" t="s">
        <v>122</v>
      </c>
      <c r="B14" s="20" t="n">
        <f aca="false">ScenarioB!B9</f>
        <v>187</v>
      </c>
      <c r="C14" s="20" t="n">
        <f aca="false">ScenarioB!C9</f>
        <v>892.5</v>
      </c>
      <c r="D14" s="20" t="n">
        <f aca="false">ScenarioB!D9</f>
        <v>3187.5</v>
      </c>
    </row>
    <row r="15" customFormat="false" ht="15" hidden="false" customHeight="true" outlineLevel="0" collapsed="false">
      <c r="A15" s="1" t="s">
        <v>123</v>
      </c>
      <c r="B15" s="31" t="n">
        <f aca="false">B13-B14</f>
        <v>213</v>
      </c>
      <c r="C15" s="31" t="n">
        <f aca="false">C13-C14</f>
        <v>1207.5</v>
      </c>
      <c r="D15" s="31" t="n">
        <f aca="false">D13-D14</f>
        <v>4312.5</v>
      </c>
    </row>
    <row r="17" customFormat="false" ht="15" hidden="false" customHeight="true" outlineLevel="0" collapsed="false">
      <c r="A17" s="12" t="s">
        <v>124</v>
      </c>
      <c r="B17" s="12"/>
      <c r="C17" s="12"/>
      <c r="D17" s="12"/>
      <c r="E17" s="12"/>
      <c r="F17" s="12"/>
    </row>
    <row r="18" customFormat="false" ht="15" hidden="false" customHeight="true" outlineLevel="0" collapsed="false">
      <c r="A18" s="13" t="s">
        <v>125</v>
      </c>
      <c r="B18" s="13" t="s">
        <v>126</v>
      </c>
      <c r="C18" s="13" t="s">
        <v>25</v>
      </c>
    </row>
    <row r="19" customFormat="false" ht="15" hidden="false" customHeight="true" outlineLevel="0" collapsed="false">
      <c r="A19" s="4" t="s">
        <v>127</v>
      </c>
      <c r="B19" s="32" t="s">
        <v>128</v>
      </c>
      <c r="C19" s="4" t="s">
        <v>129</v>
      </c>
    </row>
    <row r="20" customFormat="false" ht="15" hidden="false" customHeight="true" outlineLevel="0" collapsed="false">
      <c r="A20" s="4" t="s">
        <v>130</v>
      </c>
      <c r="B20" s="32" t="s">
        <v>128</v>
      </c>
      <c r="C20" s="4" t="s">
        <v>131</v>
      </c>
    </row>
    <row r="21" customFormat="false" ht="15" hidden="false" customHeight="true" outlineLevel="0" collapsed="false">
      <c r="A21" s="4" t="s">
        <v>132</v>
      </c>
      <c r="B21" s="32" t="s">
        <v>128</v>
      </c>
      <c r="C21" s="4" t="s">
        <v>133</v>
      </c>
    </row>
    <row r="22" customFormat="false" ht="15" hidden="false" customHeight="true" outlineLevel="0" collapsed="false">
      <c r="A22" s="4" t="s">
        <v>134</v>
      </c>
      <c r="B22" s="32" t="s">
        <v>128</v>
      </c>
      <c r="C22" s="4" t="s">
        <v>135</v>
      </c>
    </row>
    <row r="23" customFormat="false" ht="15" hidden="false" customHeight="true" outlineLevel="0" collapsed="false">
      <c r="A23" s="4" t="s">
        <v>136</v>
      </c>
      <c r="B23" s="33" t="s">
        <v>137</v>
      </c>
      <c r="C23" s="4" t="s">
        <v>138</v>
      </c>
    </row>
    <row r="24" customFormat="false" ht="15" hidden="false" customHeight="true" outlineLevel="0" collapsed="false">
      <c r="A24" s="4" t="s">
        <v>139</v>
      </c>
      <c r="B24" s="33" t="s">
        <v>137</v>
      </c>
      <c r="C24" s="4" t="s">
        <v>140</v>
      </c>
    </row>
    <row r="25" customFormat="false" ht="15" hidden="false" customHeight="true" outlineLevel="0" collapsed="false">
      <c r="A25" s="4" t="s">
        <v>141</v>
      </c>
      <c r="B25" s="33" t="s">
        <v>137</v>
      </c>
      <c r="C25" s="4" t="s">
        <v>142</v>
      </c>
    </row>
    <row r="26" customFormat="false" ht="15" hidden="false" customHeight="true" outlineLevel="0" collapsed="false">
      <c r="A26" s="4" t="s">
        <v>143</v>
      </c>
      <c r="B26" s="33" t="s">
        <v>137</v>
      </c>
      <c r="C26" s="4" t="s">
        <v>144</v>
      </c>
    </row>
  </sheetData>
  <mergeCells count="4">
    <mergeCell ref="A1:F1"/>
    <mergeCell ref="A3:F3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6"/>
  </cols>
  <sheetData>
    <row r="1" customFormat="false" ht="15" hidden="false" customHeight="true" outlineLevel="0" collapsed="false">
      <c r="A1" s="11" t="s">
        <v>145</v>
      </c>
      <c r="B1" s="11"/>
      <c r="C1" s="11"/>
      <c r="D1" s="11"/>
      <c r="E1" s="11"/>
      <c r="F1" s="11"/>
      <c r="G1" s="11"/>
    </row>
    <row r="3" customFormat="false" ht="49.5" hidden="false" customHeight="true" outlineLevel="0" collapsed="false">
      <c r="A3" s="34" t="s">
        <v>146</v>
      </c>
      <c r="B3" s="34"/>
      <c r="C3" s="34"/>
      <c r="D3" s="34"/>
      <c r="E3" s="34"/>
      <c r="F3" s="34"/>
      <c r="G3" s="34"/>
    </row>
    <row r="5" customFormat="false" ht="15" hidden="false" customHeight="true" outlineLevel="0" collapsed="false">
      <c r="A5" s="13" t="s">
        <v>147</v>
      </c>
      <c r="B5" s="35" t="n">
        <v>0.02</v>
      </c>
      <c r="C5" s="35" t="n">
        <v>0.025</v>
      </c>
      <c r="D5" s="35" t="n">
        <v>0.03</v>
      </c>
      <c r="E5" s="35" t="n">
        <v>0.035</v>
      </c>
      <c r="F5" s="35" t="n">
        <v>0.04</v>
      </c>
      <c r="G5" s="35" t="n">
        <v>0.045</v>
      </c>
    </row>
    <row r="7" customFormat="false" ht="15" hidden="false" customHeight="true" outlineLevel="0" collapsed="false">
      <c r="A7" s="1" t="s">
        <v>148</v>
      </c>
      <c r="B7" s="27" t="n">
        <f aca="false">ScenarioA!C23</f>
        <v>45231.22783872</v>
      </c>
    </row>
    <row r="8" customFormat="false" ht="15" hidden="false" customHeight="true" outlineLevel="0" collapsed="false">
      <c r="A8" s="1" t="s">
        <v>149</v>
      </c>
      <c r="B8" s="23" t="n">
        <f aca="false">(Inputs!$B$6*(1-Inputs!$B$37)*B5*Inputs!$B$22*6 + Inputs!$B$6*(1-Inputs!$B$37)*B5*(1-Inputs!$C$17)*Inputs!$B$22*6 + Inputs!$B$6*(1-Inputs!$B$37)*B5*Inputs!$C$17*Inputs!$B$23*6)*(1-Inputs!$B$34)*(1-Inputs!$B$32)*(1-(((1-Inputs!$C$17)*Inputs!$B$28+Inputs!$C$17*Inputs!$B$29))*Inputs!$B$38)</f>
        <v>26615.170882944</v>
      </c>
      <c r="C8" s="23" t="n">
        <f aca="false">(Inputs!$B$6*(1-Inputs!$B$37)*C5*Inputs!$B$22*6 + Inputs!$B$6*(1-Inputs!$B$37)*C5*(1-Inputs!$C$17)*Inputs!$B$22*6 + Inputs!$B$6*(1-Inputs!$B$37)*C5*Inputs!$C$17*Inputs!$B$23*6)*(1-Inputs!$B$34)*(1-Inputs!$B$32)*(1-(((1-Inputs!$C$17)*Inputs!$B$28+Inputs!$C$17*Inputs!$B$29))*Inputs!$B$38)</f>
        <v>33268.96360368</v>
      </c>
      <c r="D8" s="23" t="n">
        <f aca="false">(Inputs!$B$6*(1-Inputs!$B$37)*D5*Inputs!$B$22*6 + Inputs!$B$6*(1-Inputs!$B$37)*D5*(1-Inputs!$C$17)*Inputs!$B$22*6 + Inputs!$B$6*(1-Inputs!$B$37)*D5*Inputs!$C$17*Inputs!$B$23*6)*(1-Inputs!$B$34)*(1-Inputs!$B$32)*(1-(((1-Inputs!$C$17)*Inputs!$B$28+Inputs!$C$17*Inputs!$B$29))*Inputs!$B$38)</f>
        <v>39922.756324416</v>
      </c>
      <c r="E8" s="23" t="n">
        <f aca="false">(Inputs!$B$6*(1-Inputs!$B$37)*E5*Inputs!$B$22*6 + Inputs!$B$6*(1-Inputs!$B$37)*E5*(1-Inputs!$C$17)*Inputs!$B$22*6 + Inputs!$B$6*(1-Inputs!$B$37)*E5*Inputs!$C$17*Inputs!$B$23*6)*(1-Inputs!$B$34)*(1-Inputs!$B$32)*(1-(((1-Inputs!$C$17)*Inputs!$B$28+Inputs!$C$17*Inputs!$B$29))*Inputs!$B$38)</f>
        <v>46576.549045152</v>
      </c>
      <c r="F8" s="23" t="n">
        <f aca="false">(Inputs!$B$6*(1-Inputs!$B$37)*F5*Inputs!$B$22*6 + Inputs!$B$6*(1-Inputs!$B$37)*F5*(1-Inputs!$C$17)*Inputs!$B$22*6 + Inputs!$B$6*(1-Inputs!$B$37)*F5*Inputs!$C$17*Inputs!$B$23*6)*(1-Inputs!$B$34)*(1-Inputs!$B$32)*(1-(((1-Inputs!$C$17)*Inputs!$B$28+Inputs!$C$17*Inputs!$B$29))*Inputs!$B$38)</f>
        <v>53230.341765888</v>
      </c>
      <c r="G8" s="23" t="n">
        <f aca="false">(Inputs!$B$6*(1-Inputs!$B$37)*G5*Inputs!$B$22*6 + Inputs!$B$6*(1-Inputs!$B$37)*G5*(1-Inputs!$C$17)*Inputs!$B$22*6 + Inputs!$B$6*(1-Inputs!$B$37)*G5*Inputs!$C$17*Inputs!$B$23*6)*(1-Inputs!$B$34)*(1-Inputs!$B$32)*(1-(((1-Inputs!$C$17)*Inputs!$B$28+Inputs!$C$17*Inputs!$B$29))*Inputs!$B$38)</f>
        <v>59884.134486624</v>
      </c>
    </row>
    <row r="9" customFormat="false" ht="15" hidden="false" customHeight="true" outlineLevel="0" collapsed="false">
      <c r="A9" s="3" t="s">
        <v>117</v>
      </c>
      <c r="B9" s="36" t="n">
        <f aca="false">B8-$B$7</f>
        <v>-18616.056955776</v>
      </c>
      <c r="C9" s="36" t="n">
        <f aca="false">C8-$B$7</f>
        <v>-11962.26423504</v>
      </c>
      <c r="D9" s="36" t="n">
        <f aca="false">D8-$B$7</f>
        <v>-5308.47151430401</v>
      </c>
      <c r="E9" s="36" t="n">
        <f aca="false">E8-$B$7</f>
        <v>1345.321206432</v>
      </c>
      <c r="F9" s="36" t="n">
        <f aca="false">F8-$B$7</f>
        <v>7999.113927168</v>
      </c>
      <c r="G9" s="36" t="n">
        <f aca="false">G8-$B$7</f>
        <v>14652.906647904</v>
      </c>
    </row>
    <row r="10" customFormat="false" ht="15" hidden="false" customHeight="true" outlineLevel="0" collapsed="false">
      <c r="A10" s="1" t="s">
        <v>150</v>
      </c>
      <c r="B10" s="30" t="str">
        <f aca="false">IF(B8&gt;$B$7,"Scenario B","Scenario A")</f>
        <v>Scenario A</v>
      </c>
      <c r="C10" s="30" t="str">
        <f aca="false">IF(C8&gt;$B$7,"Scenario B","Scenario A")</f>
        <v>Scenario A</v>
      </c>
      <c r="D10" s="30" t="str">
        <f aca="false">IF(D8&gt;$B$7,"Scenario B","Scenario A")</f>
        <v>Scenario A</v>
      </c>
      <c r="E10" s="30" t="str">
        <f aca="false">IF(E8&gt;$B$7,"Scenario B","Scenario A")</f>
        <v>Scenario B</v>
      </c>
      <c r="F10" s="30" t="str">
        <f aca="false">IF(F8&gt;$B$7,"Scenario B","Scenario A")</f>
        <v>Scenario B</v>
      </c>
      <c r="G10" s="30" t="str">
        <f aca="false">IF(G8&gt;$B$7,"Scenario B","Scenario A")</f>
        <v>Scenario B</v>
      </c>
    </row>
    <row r="12" customFormat="false" ht="15" hidden="false" customHeight="true" outlineLevel="0" collapsed="false">
      <c r="A12" s="5" t="s">
        <v>151</v>
      </c>
      <c r="B12" s="5"/>
      <c r="C12" s="5"/>
      <c r="D12" s="5"/>
      <c r="E12" s="5"/>
      <c r="F12" s="5"/>
      <c r="G12" s="5"/>
    </row>
    <row r="13" customFormat="false" ht="45" hidden="false" customHeight="true" outlineLevel="0" collapsed="false">
      <c r="A13" s="34" t="s">
        <v>152</v>
      </c>
      <c r="B13" s="34"/>
      <c r="C13" s="34"/>
      <c r="D13" s="34"/>
      <c r="E13" s="34"/>
      <c r="F13" s="34"/>
      <c r="G13" s="34"/>
    </row>
    <row r="14" customFormat="false" ht="30" hidden="false" customHeight="true" outlineLevel="0" collapsed="false">
      <c r="A14" s="34" t="s">
        <v>153</v>
      </c>
      <c r="B14" s="34"/>
      <c r="C14" s="34"/>
      <c r="D14" s="34"/>
      <c r="E14" s="34"/>
      <c r="F14" s="34"/>
      <c r="G14" s="34"/>
    </row>
    <row r="15" customFormat="false" ht="30" hidden="false" customHeight="true" outlineLevel="0" collapsed="false">
      <c r="A15" s="34" t="s">
        <v>154</v>
      </c>
      <c r="B15" s="34"/>
      <c r="C15" s="34"/>
      <c r="D15" s="34"/>
      <c r="E15" s="34"/>
      <c r="F15" s="34"/>
      <c r="G15" s="34"/>
    </row>
  </sheetData>
  <mergeCells count="6">
    <mergeCell ref="A1:G1"/>
    <mergeCell ref="A3:G3"/>
    <mergeCell ref="A12:G12"/>
    <mergeCell ref="A13:G13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2026-05-20T04:19:16Z</dcterms:created>
  <dc:creator>openpyxl</dc:creator>
  <dc:description/>
  <dc:language>en-US</dc:language>
  <cp:lastModifiedBy/>
  <dcterms:modified xsi:type="dcterms:W3CDTF">2026-05-20T04:19:39Z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