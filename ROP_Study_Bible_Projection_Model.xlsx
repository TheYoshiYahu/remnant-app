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rojection" sheetId="3" state="visible" r:id="rId5"/>
    <sheet name="Logos Comparison" sheetId="4" state="visible" r:id="rId6"/>
    <sheet name="Milest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<sst xmlns="http://schemas.openxmlformats.org/spreadsheetml/2006/main" count="365" uniqueCount="287">
  <si>
    <t xml:space="preserve">The Remnant of Promise Official Study Bible — Projection Model</t>
  </si>
  <si>
    <t xml:space="preserve">Prepared for: [father-in-law name] — business advisory review</t>
  </si>
  <si>
    <t xml:space="preserve">As-of date: May 23, 2026</t>
  </si>
  <si>
    <t xml:space="preserve">Purpose</t>
  </si>
  <si>
    <t xml:space="preserve">Three-scenario projection (Conservative / Base / Aspirational) of paying-partner growth, monthly recurring revenue (MRR), and annual recurring revenue (ARR) at 3-month, 6-month, and 12-month horizons for The Remnant of Promise Official Study Bible — the restored-names study Bible app currently in mid-development at bible.remnantofpromise.org. Also captures the feature-parity timeline against Logos Bible Software (the dominant Bible-study suite) and where this app reaches a comparable feature footprint at roughly half Logos's price.</t>
  </si>
  <si>
    <t xml:space="preserve">How to use this workbook</t>
  </si>
  <si>
    <t xml:space="preserve">1. The 'Assumptions' tab carries every input as a BLUE cell. Edit any blue cell to update the projections — every other tab recalculates from the assumptions automatically.</t>
  </si>
  <si>
    <t xml:space="preserve">2. The 'Projection' tab carries month-by-month rollups for all three scenarios across the next 12 months (June 2026 through May 2027).</t>
  </si>
  <si>
    <t xml:space="preserve">3. The 'Logos Comparison' tab maps our tier ladder against Logos's three subscription tiers (Premium / Pro / Max) and shows the feature-parity scorecard.</t>
  </si>
  <si>
    <t xml:space="preserve">4. The 'Milestones' tab summarizes the three projection horizons + the feature-parity date + key unit economics (CAC, LTV, LTV/CAC ratio).</t>
  </si>
  <si>
    <t xml:space="preserve">Color legend (industry-standard financial-model convention)</t>
  </si>
  <si>
    <t xml:space="preserve">Blue text</t>
  </si>
  <si>
    <t xml:space="preserve">Hardcoded inputs. Edit these to change the model.</t>
  </si>
  <si>
    <t xml:space="preserve">Black text</t>
  </si>
  <si>
    <t xml:space="preserve">Formulas. Do not overwrite — they recalculate from inputs.</t>
  </si>
  <si>
    <t xml:space="preserve">Green text</t>
  </si>
  <si>
    <t xml:space="preserve">Cross-sheet references (pulled from Assumptions tab).</t>
  </si>
  <si>
    <t xml:space="preserve">Yellow fill</t>
  </si>
  <si>
    <t xml:space="preserve">Key assumption that should be reviewed / replaced with real data.</t>
  </si>
  <si>
    <t xml:space="preserve">Important caveats</t>
  </si>
  <si>
    <t xml:space="preserve">• The starting state (13 partners, ~$5/mo blended ARPU) is approximate — the founder-pricing cohort blends across tiers and the exact MRR can be confirmed in Stripe. The trajectory math does not depend heavily on the precise starting number.</t>
  </si>
  <si>
    <t xml:space="preserve">• Conversion rates and churn rates are industry-typical assumptions for low-price recurring subscription products in niche faith content. Real data after a few months of meaningful acquisition will replace these inputs.</t>
  </si>
  <si>
    <t xml:space="preserve">• Logos's subscriber counts and revenue are estimates (Faithlife is privately held). The $26.2M annual revenue figure and 750k+ active monthly user count are from publicly available third-party estimates and the Google Play listing respectively.</t>
  </si>
  <si>
    <t xml:space="preserve">• Projections are HYPOTHESES, not forecasts. The model is built to make assumptions explicit and stress-testable, not to predict the future. The honest framing: 'here is what would have to be true for each scenario to land.'</t>
  </si>
  <si>
    <t xml:space="preserve">ASSUMPTIONS — edit BLUE cells to change projections</t>
  </si>
  <si>
    <t xml:space="preserve">STARTING STATE (as of model date)</t>
  </si>
  <si>
    <t xml:space="preserve">As-of date</t>
  </si>
  <si>
    <t xml:space="preserve">5/23/2026</t>
  </si>
  <si>
    <t xml:space="preserve">Paying partners today (total across all paid tiers)</t>
  </si>
  <si>
    <t xml:space="preserve">Midpoint of 1–25 range Yoshi confirmed; replace with exact Stripe count</t>
  </si>
  <si>
    <t xml:space="preserve">Blended monthly price per paying partner ($/mo)</t>
  </si>
  <si>
    <t xml:space="preserve">Founder-cohort 50%-off variant pulls blended ARPU below sticker prices</t>
  </si>
  <si>
    <t xml:space="preserve">Starting MRR</t>
  </si>
  <si>
    <t xml:space="preserve">Starting ARR</t>
  </si>
  <si>
    <t xml:space="preserve">TIER MIX AT NEW PAID CONVERSION (% of new paid partners)</t>
  </si>
  <si>
    <t xml:space="preserve">$1.99 Notes tier</t>
  </si>
  <si>
    <t xml:space="preserve">$4.99 Library tier</t>
  </si>
  <si>
    <t xml:space="preserve">$9.99 Power tier (Deeper Dive + chronological + Yoshi's keys)</t>
  </si>
  <si>
    <t xml:space="preserve">Sum check (must equal 100%)</t>
  </si>
  <si>
    <t xml:space="preserve">Blended price of new paid partner ($/mo)</t>
  </si>
  <si>
    <t xml:space="preserve">TIER PRICING REFERENCE (per DESIGN_LANGUAGE.md §9)</t>
  </si>
  <si>
    <t xml:space="preserve">Free tier</t>
  </si>
  <si>
    <t xml:space="preserve">$0/mo</t>
  </si>
  <si>
    <t xml:space="preserve">Restored sacred names + canon + apocrypha + pseudepigrapha + Strong's + 2 framework cross-ref threads</t>
  </si>
  <si>
    <t xml:space="preserve">Notes tier</t>
  </si>
  <si>
    <t xml:space="preserve">$1.99/mo</t>
  </si>
  <si>
    <t xml:space="preserve">Plus: 12 highlight colors, 3 mark styles, scoped notes, color-meaning dictionary</t>
  </si>
  <si>
    <t xml:space="preserve">Library tier</t>
  </si>
  <si>
    <t xml:space="preserve">$4.99/mo</t>
  </si>
  <si>
    <t xml:space="preserve">Plus: short-form commentary every chapter, BDB/Thayer's/Vine's, interlinear, nikkudot, recommendations engine</t>
  </si>
  <si>
    <t xml:space="preserve">Power tier</t>
  </si>
  <si>
    <t xml:space="preserve">$9.99/mo</t>
  </si>
  <si>
    <t xml:space="preserve">Plus: Deeper Dive on every chapter, Yoshi's pre-loaded keys, chronological order toggle</t>
  </si>
  <si>
    <t xml:space="preserve">CHURN AND CONVERSION</t>
  </si>
  <si>
    <t xml:space="preserve">Monthly churn rate</t>
  </si>
  <si>
    <t xml:space="preserve">Industry-typical for low-price faith content; real data after 3-6 months will replace</t>
  </si>
  <si>
    <t xml:space="preserve">Free-signup → paid-conversion rate</t>
  </si>
  <si>
    <t xml:space="preserve">Industry-typical for niche faith software (1–5% range)</t>
  </si>
  <si>
    <t xml:space="preserve">ACQUISITION SPEND PER SCENARIO ($/month — paid ads + content + tools)</t>
  </si>
  <si>
    <t xml:space="preserve">Current monthly spend (today)</t>
  </si>
  <si>
    <t xml:space="preserve">Midpoint of $1–500 range Yoshi confirmed</t>
  </si>
  <si>
    <t xml:space="preserve">Conservative — sustain current spend through year</t>
  </si>
  <si>
    <t xml:space="preserve">Base — modest scale-up post-launch (3x by month 6)</t>
  </si>
  <si>
    <t xml:space="preserve">Aspirational — meaningful scale-up post-launch (10x by month 6)</t>
  </si>
  <si>
    <t xml:space="preserve">NEW PAID PARTNERS PER $100 ACQUISITION SPEND</t>
  </si>
  <si>
    <t xml:space="preserve">Conservative — organic-heavy, modest paid lift</t>
  </si>
  <si>
    <t xml:space="preserve">≈$50 CAC; ~10 new paid/mo at $500 spend</t>
  </si>
  <si>
    <t xml:space="preserve">Base — current organic + paid scaling stays efficient</t>
  </si>
  <si>
    <t xml:space="preserve">≈$33 CAC; ~22 new paid/mo at $750 spend</t>
  </si>
  <si>
    <t xml:space="preserve">Aspirational — efficient channels found + scaled</t>
  </si>
  <si>
    <t xml:space="preserve">≈$25 CAC; ~100 new paid/mo at $2,500 spend</t>
  </si>
  <si>
    <t xml:space="preserve">ORGANIC NEW PAID PARTNERS PER MONTH (independent of paid spend)</t>
  </si>
  <si>
    <t xml:space="preserve">Pre-launch (current state, ongoing through W6-W14 sweep)</t>
  </si>
  <si>
    <t xml:space="preserve">Word-of-mouth + YouTube + book-readers stumble in</t>
  </si>
  <si>
    <t xml:space="preserve">Post-launch — Conservative</t>
  </si>
  <si>
    <t xml:space="preserve">Post-launch — Base</t>
  </si>
  <si>
    <t xml:space="preserve">Post-launch — Aspirational</t>
  </si>
  <si>
    <t xml:space="preserve">App Store / Play Store discovery + viral share-with-watermark</t>
  </si>
  <si>
    <t xml:space="preserve">FEATURE-PARITY TIMELINE (mapped to remaining wheels W6-W14)</t>
  </si>
  <si>
    <t xml:space="preserve">Wheel-shipping pace (wheels per week)</t>
  </si>
  <si>
    <t xml:space="preserve">Yoshi: 'I will have it finished in a month' — ~9 wheels / 4 weeks ≈ 2/wk</t>
  </si>
  <si>
    <t xml:space="preserve">Wheels remaining (W6 Search through W14 PDF export)</t>
  </si>
  <si>
    <t xml:space="preserve">Wheels to feature-parity milestone (W10 reference library + W11 interlinear)</t>
  </si>
  <si>
    <t xml:space="preserve">Weeks to feature parity from today</t>
  </si>
  <si>
    <t xml:space="preserve">Feature-parity date</t>
  </si>
  <si>
    <t xml:space="preserve">Weeks to full launch (all 14 wheels + Google Play / App Store listing)</t>
  </si>
  <si>
    <t xml:space="preserve">+2 weeks slack for App Store + Google Play approval</t>
  </si>
  <si>
    <t xml:space="preserve">Launch date (Google Play + App Store wraps live)</t>
  </si>
  <si>
    <t xml:space="preserve">Launch month (months from today)</t>
  </si>
  <si>
    <t xml:space="preserve">Used by Projection tab to switch from pre-launch to post-launch organic</t>
  </si>
  <si>
    <t xml:space="preserve">MONTHLY PROJECTION — 12 months (Jun 2026 → May 2027)</t>
  </si>
  <si>
    <t xml:space="preserve">CONSERVATIVE SCENARIO</t>
  </si>
  <si>
    <t xml:space="preserve">Month</t>
  </si>
  <si>
    <t xml:space="preserve">Date</t>
  </si>
  <si>
    <t xml:space="preserve">Acq Spend</t>
  </si>
  <si>
    <t xml:space="preserve">New (Paid)</t>
  </si>
  <si>
    <t xml:space="preserve">New (Organic)</t>
  </si>
  <si>
    <t xml:space="preserve">Churned</t>
  </si>
  <si>
    <t xml:space="preserve">Ending Partners</t>
  </si>
  <si>
    <t xml:space="preserve">MRR</t>
  </si>
  <si>
    <t xml:space="preserve">ARR</t>
  </si>
  <si>
    <t xml:space="preserve">BASE SCENARIO</t>
  </si>
  <si>
    <t xml:space="preserve">ASPIRATIONAL SCENARIO</t>
  </si>
  <si>
    <t xml:space="preserve">SUMMARY — Ending Partners + MRR + ARR at key horizons</t>
  </si>
  <si>
    <t xml:space="preserve">Horizon</t>
  </si>
  <si>
    <t xml:space="preserve">Conservative — Partners</t>
  </si>
  <si>
    <t xml:space="preserve">Conservative — MRR</t>
  </si>
  <si>
    <t xml:space="preserve">Base — Partners</t>
  </si>
  <si>
    <t xml:space="preserve">Base — MRR</t>
  </si>
  <si>
    <t xml:space="preserve">Aspirational — Partners</t>
  </si>
  <si>
    <t xml:space="preserve">Aspirational — MRR</t>
  </si>
  <si>
    <t xml:space="preserve">3 months</t>
  </si>
  <si>
    <t xml:space="preserve">6 months</t>
  </si>
  <si>
    <t xml:space="preserve">12 months</t>
  </si>
  <si>
    <t xml:space="preserve">LOGOS COMPARISON — pricing + feature-parity scorecard</t>
  </si>
  <si>
    <t xml:space="preserve">MONTHLY SUBSCRIPTION PRICING — head-to-head</t>
  </si>
  <si>
    <t xml:space="preserve">Tier role</t>
  </si>
  <si>
    <t xml:space="preserve">ROP Study Bible</t>
  </si>
  <si>
    <t xml:space="preserve">Logos equivalent</t>
  </si>
  <si>
    <t xml:space="preserve">ROP $/mo</t>
  </si>
  <si>
    <t xml:space="preserve">Logos $/mo</t>
  </si>
  <si>
    <t xml:space="preserve">ROP discount vs Logos</t>
  </si>
  <si>
    <t xml:space="preserve">Entry / free tier</t>
  </si>
  <si>
    <t xml:space="preserve">Free</t>
  </si>
  <si>
    <t xml:space="preserve">(no equivalent)</t>
  </si>
  <si>
    <t xml:space="preserve">n/a</t>
  </si>
  <si>
    <t xml:space="preserve">Personal study</t>
  </si>
  <si>
    <t xml:space="preserve">Notes ($1.99)</t>
  </si>
  <si>
    <t xml:space="preserve">(no direct comp)</t>
  </si>
  <si>
    <t xml:space="preserve">Serious study</t>
  </si>
  <si>
    <t xml:space="preserve">Library ($4.99)</t>
  </si>
  <si>
    <t xml:space="preserve">Premium ($9.99)</t>
  </si>
  <si>
    <t xml:space="preserve">Sermon/pastor prep</t>
  </si>
  <si>
    <t xml:space="preserve">Pro ($14.99)</t>
  </si>
  <si>
    <t xml:space="preserve">Academic / power-user</t>
  </si>
  <si>
    <t xml:space="preserve">Power ($9.99)</t>
  </si>
  <si>
    <t xml:space="preserve">Max ($19.99)</t>
  </si>
  <si>
    <t xml:space="preserve">Logos pricing source: logos.com/configure/subscriptions (verified May 2026)</t>
  </si>
  <si>
    <t xml:space="preserve">FEATURE PARITY SCORECARD</t>
  </si>
  <si>
    <t xml:space="preserve">Feature surface</t>
  </si>
  <si>
    <t xml:space="preserve">ROP — current state</t>
  </si>
  <si>
    <t xml:space="preserve">ROP — when shipped</t>
  </si>
  <si>
    <t xml:space="preserve">Logos has it?</t>
  </si>
  <si>
    <t xml:space="preserve">Logos tier required</t>
  </si>
  <si>
    <t xml:space="preserve">Where ROP exceeds Logos</t>
  </si>
  <si>
    <t xml:space="preserve">Restored sacred names (Yahuah, Yahusha, etc. with English parentheticals)</t>
  </si>
  <si>
    <t xml:space="preserve">LIVE — Free tier</t>
  </si>
  <si>
    <t xml:space="preserve">Already live</t>
  </si>
  <si>
    <t xml:space="preserve">No</t>
  </si>
  <si>
    <t xml:space="preserve">(unavailable)</t>
  </si>
  <si>
    <t xml:space="preserve">Unique to ROP — third-commandment fidelity</t>
  </si>
  <si>
    <t xml:space="preserve">Apocrypha + pseudepigrapha library at Free tier (1 Enoch, Jubilees, Jasher, Charles Vol 1+2, Josephus, Sonnini)</t>
  </si>
  <si>
    <t xml:space="preserve">Partial — paid only</t>
  </si>
  <si>
    <t xml:space="preserve">Add-on libraries (extra cost)</t>
  </si>
  <si>
    <t xml:space="preserve">Free at ROP; paid at Logos</t>
  </si>
  <si>
    <t xml:space="preserve">Strong's reference lookup (tap any word)</t>
  </si>
  <si>
    <t xml:space="preserve">Already live (S120-S121)</t>
  </si>
  <si>
    <t xml:space="preserve">Yes</t>
  </si>
  <si>
    <t xml:space="preserve">All tiers</t>
  </si>
  <si>
    <t xml:space="preserve">Free at ROP</t>
  </si>
  <si>
    <t xml:space="preserve">13-color highlighting + 3 mark styles</t>
  </si>
  <si>
    <t xml:space="preserve">LIVE — $1.99 tier</t>
  </si>
  <si>
    <t xml:space="preserve">Already live (S113, S117)</t>
  </si>
  <si>
    <t xml:space="preserve">$1.99 vs $9.99+</t>
  </si>
  <si>
    <t xml:space="preserve">Notes (single + per-verse + global notepad)</t>
  </si>
  <si>
    <t xml:space="preserve">LIVE — Free / $1.99 tiers</t>
  </si>
  <si>
    <t xml:space="preserve">S124 (Free V1); $1.99 hub W8</t>
  </si>
  <si>
    <t xml:space="preserve">Free V1; $1.99 hub</t>
  </si>
  <si>
    <t xml:space="preserve">Bookmarks (color-tinted with tags)</t>
  </si>
  <si>
    <t xml:space="preserve">Already live (S124)</t>
  </si>
  <si>
    <t xml:space="preserve">Full-text search across canon + extras</t>
  </si>
  <si>
    <t xml:space="preserve">Server live; UI in W6</t>
  </si>
  <si>
    <t xml:space="preserve">W6 — this session</t>
  </si>
  <si>
    <t xml:space="preserve">Reading position persistence</t>
  </si>
  <si>
    <t xml:space="preserve">Already live (S116)</t>
  </si>
  <si>
    <t xml:space="preserve">Chapter swipe + arrow navigation</t>
  </si>
  <si>
    <t xml:space="preserve">LIVE</t>
  </si>
  <si>
    <t xml:space="preserve">Already live (S121 W2)</t>
  </si>
  <si>
    <t xml:space="preserve">Yes (basic)</t>
  </si>
  <si>
    <t xml:space="preserve">Tied</t>
  </si>
  <si>
    <t xml:space="preserve">Cross-references with full restored library (bidirectional, curated)</t>
  </si>
  <si>
    <t xml:space="preserve">Two threads free; full apparatus $4.99</t>
  </si>
  <si>
    <t xml:space="preserve">S110-S112 (Matthew); ongoing for other books</t>
  </si>
  <si>
    <t xml:space="preserve">Premium+</t>
  </si>
  <si>
    <t xml:space="preserve">Curated AI-free; full restored library</t>
  </si>
  <si>
    <t xml:space="preserve">Commentary on every chapter (short-form, framework-bearing)</t>
  </si>
  <si>
    <t xml:space="preserve">Matthew done; rolling out</t>
  </si>
  <si>
    <t xml:space="preserve">$4.99 tier; on-going chapter rollout</t>
  </si>
  <si>
    <t xml:space="preserve">Yes (3rd-party commentaries)</t>
  </si>
  <si>
    <t xml:space="preserve">Pro+</t>
  </si>
  <si>
    <t xml:space="preserve">Original framework reading; not 3rd-party</t>
  </si>
  <si>
    <t xml:space="preserve">Hebrew/Greek lexicons: BDB, Thayer's, Vine's, ATS, Easton's, Smith's, Nave's, Treasury</t>
  </si>
  <si>
    <t xml:space="preserve">Coming W10 ($4.99)</t>
  </si>
  <si>
    <t xml:space="preserve">~mid-June 2026</t>
  </si>
  <si>
    <t xml:space="preserve">Half the price</t>
  </si>
  <si>
    <t xml:space="preserve">Hebrew/Greek interlinear (word-by-word with original-language alignment)</t>
  </si>
  <si>
    <t xml:space="preserve">Coming W11 ($4.99)</t>
  </si>
  <si>
    <t xml:space="preserve">~mid-late June 2026</t>
  </si>
  <si>
    <t xml:space="preserve">Pro / Max</t>
  </si>
  <si>
    <t xml:space="preserve">Nikkudot-strip (consonantal-form siblings; alternate Masoretic readings)</t>
  </si>
  <si>
    <t xml:space="preserve">Coming W12 ($4.99)</t>
  </si>
  <si>
    <t xml:space="preserve">~late June 2026</t>
  </si>
  <si>
    <t xml:space="preserve">Unique to ROP</t>
  </si>
  <si>
    <t xml:space="preserve">Verse-highlight recommendations engine (curated cross-reference threads)</t>
  </si>
  <si>
    <t xml:space="preserve">Coming W13 ($4.99)</t>
  </si>
  <si>
    <t xml:space="preserve">~late June / early July 2026</t>
  </si>
  <si>
    <t xml:space="preserve">Partial — Logos Factbook (AI-assisted)</t>
  </si>
  <si>
    <t xml:space="preserve">Max</t>
  </si>
  <si>
    <t xml:space="preserve">100% curated; AI-free</t>
  </si>
  <si>
    <t xml:space="preserve">Notes export to PDF</t>
  </si>
  <si>
    <t xml:space="preserve">Coming W14 ($4.99)</t>
  </si>
  <si>
    <t xml:space="preserve">~early July 2026</t>
  </si>
  <si>
    <t xml:space="preserve">Free of platform lock-in</t>
  </si>
  <si>
    <t xml:space="preserve">Deeper Dive book-length commentary per chapter</t>
  </si>
  <si>
    <t xml:space="preserve">Coming — $9.99 tier</t>
  </si>
  <si>
    <t xml:space="preserve">On-going chapter rollout post-launch</t>
  </si>
  <si>
    <t xml:space="preserve">Partial — sold separately as commentaries</t>
  </si>
  <si>
    <t xml:space="preserve">Premium+ (each commentary extra)</t>
  </si>
  <si>
    <t xml:space="preserve">Bundled in $9.99 vs $50-500 per commentary at Logos</t>
  </si>
  <si>
    <t xml:space="preserve">Yoshi's pre-loaded marks + teaching keys</t>
  </si>
  <si>
    <t xml:space="preserve">Post-launch curation work</t>
  </si>
  <si>
    <t xml:space="preserve">Unique to ROP — read alongside the teacher</t>
  </si>
  <si>
    <t xml:space="preserve">Chronological canon order toggle (framework-dated)</t>
  </si>
  <si>
    <t xml:space="preserve">Post-launch</t>
  </si>
  <si>
    <t xml:space="preserve">Yes (generic scholarly chronology)</t>
  </si>
  <si>
    <t xml:space="preserve">ROP uses framework dating, not generic</t>
  </si>
  <si>
    <t xml:space="preserve">Atlases + maps</t>
  </si>
  <si>
    <t xml:space="preserve">NOT in current 14-wheel sweep</t>
  </si>
  <si>
    <t xml:space="preserve">Post-launch wheel (planned)</t>
  </si>
  <si>
    <t xml:space="preserve">Gap — Logos wins here today</t>
  </si>
  <si>
    <t xml:space="preserve">Sermon-prep workflow tools (outline templates, slide export)</t>
  </si>
  <si>
    <t xml:space="preserve">Not in roadmap</t>
  </si>
  <si>
    <t xml:space="preserve">Not planned</t>
  </si>
  <si>
    <t xml:space="preserve">Yes (key Pro audience)</t>
  </si>
  <si>
    <t xml:space="preserve">Pro</t>
  </si>
  <si>
    <t xml:space="preserve">Gap — Logos serves a market segment ROP does not target</t>
  </si>
  <si>
    <t xml:space="preserve">WHERE ROP EXCEEDS LOGOS (the framework-reading moat)</t>
  </si>
  <si>
    <t xml:space="preserve">• Restored sacred names with parenthetical equivalents — third-commandment fidelity Logos does not offer.</t>
  </si>
  <si>
    <t xml:space="preserve">• Apocrypha + pseudepigrapha (1 Enoch, Jubilees, Jasher, full Charles Vol 1 + 2) at the FREE tier — Logos charges separately for these.</t>
  </si>
  <si>
    <t xml:space="preserve">• Original framework theological commentary in Yoshi's voice — not third-party reprints. Reads the canon plainly through the framework that institutional Christianity, Judaism, Hebrew Roots, and Islam all flinch from.</t>
  </si>
  <si>
    <t xml:space="preserve">• 100% human-curated cross-references and recommendations — no AI inference at runtime, no AI-generated similarity. The data is the framework, made traceable.</t>
  </si>
  <si>
    <t xml:space="preserve">• Roughly half the price across every comparable tier — Library $4.99 vs Logos Pro $14.99; Power $9.99 vs Logos Max $19.99.</t>
  </si>
  <si>
    <t xml:space="preserve">• Full apocrypha and pseudepigrapha at no extra charge — the canon as it stood before the Reformation's truncation.</t>
  </si>
  <si>
    <t xml:space="preserve">• Nikkudot-strip surfaces the Masoretic interpretive layer that no other major Bible app exposes.</t>
  </si>
  <si>
    <t xml:space="preserve">GAPS — where Logos still has more (post-launch roadmap)</t>
  </si>
  <si>
    <t xml:space="preserve">• Atlases + maps — planned post-launch; not in the current 14-wheel sweep.</t>
  </si>
  <si>
    <t xml:space="preserve">• Sermon-prep workflow tools (outline templates, slide export) — not in roadmap. Targets a different market segment.</t>
  </si>
  <si>
    <t xml:space="preserve">• Original-language morphological tagging depth — Logos has decades of academic alignment work; ROP ships Strong's-level alignment today, with interlinear at W11.</t>
  </si>
  <si>
    <t xml:space="preserve">• Commentary library breadth — Logos resells thousands of commentaries; ROP ships Yoshi's original framework commentary, growing chapter-by-chapter.</t>
  </si>
  <si>
    <t xml:space="preserve">• Logos has 750k+ active monthly users (Faithlife is privately held; estimates only). ROP starts from low double-digit paid partners — the brand-trust gap is real and the model accounts for it in the Conservative scenario.</t>
  </si>
  <si>
    <t xml:space="preserve">MILESTONES — checkpoints + unit economics</t>
  </si>
  <si>
    <t xml:space="preserve">PROJECTION CHECKPOINTS</t>
  </si>
  <si>
    <t xml:space="preserve">Calendar date</t>
  </si>
  <si>
    <t xml:space="preserve">Scenario</t>
  </si>
  <si>
    <t xml:space="preserve">Ending paying partners</t>
  </si>
  <si>
    <t xml:space="preserve">MRR ($)</t>
  </si>
  <si>
    <t xml:space="preserve">ARR ($)</t>
  </si>
  <si>
    <t xml:space="preserve">Conservative</t>
  </si>
  <si>
    <t xml:space="preserve">Base</t>
  </si>
  <si>
    <t xml:space="preserve">Aspirational</t>
  </si>
  <si>
    <t xml:space="preserve">LOGOS FEATURE-PARITY MILESTONE</t>
  </si>
  <si>
    <t xml:space="preserve">Feature-parity date (W10 reference library + W11 interlinear shipped)</t>
  </si>
  <si>
    <t xml:space="preserve">Full launch date (all 14 wheels + Google Play / App Store listings live)</t>
  </si>
  <si>
    <t xml:space="preserve">Weeks from today to feature parity</t>
  </si>
  <si>
    <t xml:space="preserve">Weeks from today to full launch</t>
  </si>
  <si>
    <t xml:space="preserve">UNIT ECONOMICS</t>
  </si>
  <si>
    <t xml:space="preserve">Metric</t>
  </si>
  <si>
    <t xml:space="preserve">Healthy benchmark</t>
  </si>
  <si>
    <t xml:space="preserve">Notes</t>
  </si>
  <si>
    <t xml:space="preserve">ARPU — blended price per new paid partner ($/mo)</t>
  </si>
  <si>
    <t xml:space="preserve">Same blended price assumption across scenarios (tier mix is scenario-independent)</t>
  </si>
  <si>
    <t xml:space="preserve">LTV — lifetime value per partner ($)</t>
  </si>
  <si>
    <t xml:space="preserve">LTV = ARPU / monthly churn (simple geometric series)</t>
  </si>
  <si>
    <t xml:space="preserve">CAC — customer acquisition cost ($/paid partner)</t>
  </si>
  <si>
    <t xml:space="preserve">&lt; $50</t>
  </si>
  <si>
    <t xml:space="preserve">Paid CAC only; organic partners are 'free' (audience-built)</t>
  </si>
  <si>
    <t xml:space="preserve">LTV / CAC ratio</t>
  </si>
  <si>
    <t xml:space="preserve">&gt; 3.0 healthy</t>
  </si>
  <si>
    <t xml:space="preserve">Above 3.0 = unit economics support scaling spend; below 1 = burn</t>
  </si>
  <si>
    <t xml:space="preserve">Mature monthly acquisition spend ($)</t>
  </si>
  <si>
    <t xml:space="preserve">KEY OBSERVATIONS + RISKS</t>
  </si>
  <si>
    <t xml:space="preserve">• Unit economics are MARGINAL, not strong. LTV is ~$60.50 per partner (ARPU $4.84/mo ÷ 8% monthly churn). CAC ranges from $50 (Conservative) to $25 (Aspirational). LTV/CAC ratios: Conservative 1.21x, Base 1.82x, Aspirational 2.42x. The healthy benchmark is 3.0x or higher. The current model says: paid acquisition pays back, but the cushion is thin.</t>
  </si>
  <si>
    <t xml:space="preserve">• Three levers move LTV/CAC into healthy territory. (a) Lower churn from 8% to 5% → LTV jumps to $97/partner → Base LTV/CAC = 2.9x. (b) Shift tier mix from $4.99-dominant to $9.99-dominant → ARPU rises from $4.84 to $7+/mo. (c) Improve paid efficiency past 4 paid partners per $100 spend → Aspirational case clears 3.0x. Real data after 3-6 months of meaningful acquisition will tell which lever is realistic.</t>
  </si>
  <si>
    <t xml:space="preserve">• Feature parity with Logos's core toolset (lexicons at W10 + interlinear at W11) lands by mid-June 2026 if Yoshi holds the 2-wheels-per-week pace. This is the moment the marketing story shifts from 'restored-names study Bible' to 'restored-names study Bible that does everything Logos's $14.99 Pro tier does at $4.99 — and ships features Logos does not have at any price.'</t>
  </si>
  <si>
    <t xml:space="preserve">• The 12-month aspirational scenario lands at ~855 paying partners and ~$50k ARR. That assumes meaningful paid-spend scaling ($2,500/mo by month 6), efficient channels stay efficient, and post-launch organic discovery hits 25 new paid partners/month from app store + viral share-with-watermark. The model is most fragile here — paid efficiency commonly degrades with scale.</t>
  </si>
  <si>
    <t xml:space="preserve">• Logos has 750k+ active monthly users (estimate; Faithlife is privately held). Even the aspirational 12-month projection lands at &lt;0.2% of Logos's monthly active count. The total addressable market is enormous; the strategy is not to take Logos's share but to find the slice of that 750k who specifically want the framework reading — restored sacred names, full apocrypha/pseudepigrapha, no antichrist Paul-reading, half the price.</t>
  </si>
  <si>
    <t xml:space="preserve">• Material model gaps to flag: (a) free-signup pool sizing is not modeled — new-paid is treated as a function of spend + organic, skipping the free-tier reservoir that should compound; (b) tier mix is scenario-independent, but the real mix may shift with marketing message (a 'pastor-targeting' push could move the mix toward $4.99 Library; a 'serious-student' push toward $9.99 Power); (c) annual-billing discounts are not modeled — Logos gives ~2 months free on annual; if ROP follows suit, ARPU drops ~17% for annual subscribers but churn drops materially too.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</si>
</sst>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.00;&quot;($&quot;#,##0.00\);\-"/>
    <numFmt numFmtId="167" formatCode="0.0%;\(0.0%\);\-"/>
    <numFmt numFmtId="168" formatCode="\$#,##0;&quot;($&quot;#,##0\);\-"/>
    <numFmt numFmtId="169" formatCode="0.0"/>
    <numFmt numFmtId="170" formatCode="mmm\ yyyy"/>
    <numFmt numFmtId="171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true" outlineLevel="0" collapsed="false">
      <c r="A5" s="4" t="s">
        <v>3</v>
      </c>
    </row>
    <row r="6" customFormat="false" ht="31.5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1.5" hidden="false" customHeight="true" outlineLevel="0" collapsed="false">
      <c r="A7" s="5"/>
      <c r="B7" s="5"/>
      <c r="C7" s="5"/>
      <c r="D7" s="5"/>
      <c r="E7" s="5"/>
      <c r="F7" s="5"/>
    </row>
    <row r="8" customFormat="false" ht="31.5" hidden="false" customHeight="true" outlineLevel="0" collapsed="false">
      <c r="A8" s="5"/>
      <c r="B8" s="5"/>
      <c r="C8" s="5"/>
      <c r="D8" s="5"/>
      <c r="E8" s="5"/>
      <c r="F8" s="5"/>
    </row>
    <row r="10" customFormat="false" ht="15" hidden="false" customHeight="true" outlineLevel="0" collapsed="false">
      <c r="A10" s="4" t="s">
        <v>5</v>
      </c>
    </row>
    <row r="11" customFormat="false" ht="23.25" hidden="false" customHeight="true" outlineLevel="0" collapsed="false">
      <c r="A11" s="5" t="s">
        <v>6</v>
      </c>
      <c r="B11" s="5"/>
      <c r="C11" s="5"/>
      <c r="D11" s="5"/>
      <c r="E11" s="5"/>
      <c r="F11" s="5"/>
    </row>
    <row r="12" customFormat="false" ht="23.25" hidden="false" customHeight="true" outlineLevel="0" collapsed="false">
      <c r="A12" s="5" t="s">
        <v>7</v>
      </c>
      <c r="B12" s="5"/>
      <c r="C12" s="5"/>
      <c r="D12" s="5"/>
      <c r="E12" s="5"/>
      <c r="F12" s="5"/>
    </row>
    <row r="13" customFormat="false" ht="23.25" hidden="false" customHeight="true" outlineLevel="0" collapsed="false">
      <c r="A13" s="5" t="s">
        <v>8</v>
      </c>
      <c r="B13" s="5"/>
      <c r="C13" s="5"/>
      <c r="D13" s="5"/>
      <c r="E13" s="5"/>
      <c r="F13" s="5"/>
    </row>
    <row r="14" customFormat="false" ht="23.25" hidden="false" customHeight="true" outlineLevel="0" collapsed="false">
      <c r="A14" s="5" t="s">
        <v>9</v>
      </c>
      <c r="B14" s="5"/>
      <c r="C14" s="5"/>
      <c r="D14" s="5"/>
      <c r="E14" s="5"/>
      <c r="F14" s="5"/>
    </row>
    <row r="16" customFormat="false" ht="15" hidden="false" customHeight="true" outlineLevel="0" collapsed="false">
      <c r="A16" s="4" t="s">
        <v>10</v>
      </c>
    </row>
    <row r="17" customFormat="false" ht="15" hidden="false" customHeight="true" outlineLevel="0" collapsed="false">
      <c r="A17" s="6" t="s">
        <v>11</v>
      </c>
      <c r="B17" s="7" t="s">
        <v>12</v>
      </c>
    </row>
    <row r="18" customFormat="false" ht="15" hidden="false" customHeight="true" outlineLevel="0" collapsed="false">
      <c r="A18" s="4" t="s">
        <v>13</v>
      </c>
      <c r="B18" s="7" t="s">
        <v>14</v>
      </c>
    </row>
    <row r="19" customFormat="false" ht="15" hidden="false" customHeight="true" outlineLevel="0" collapsed="false">
      <c r="A19" s="8" t="s">
        <v>15</v>
      </c>
      <c r="B19" s="7" t="s">
        <v>16</v>
      </c>
    </row>
    <row r="20" customFormat="false" ht="15" hidden="false" customHeight="true" outlineLevel="0" collapsed="false">
      <c r="A20" s="9" t="s">
        <v>17</v>
      </c>
      <c r="B20" s="7" t="s">
        <v>18</v>
      </c>
    </row>
    <row r="22" customFormat="false" ht="15" hidden="false" customHeight="true" outlineLevel="0" collapsed="false">
      <c r="A22" s="4" t="s">
        <v>19</v>
      </c>
    </row>
    <row r="23" customFormat="false" ht="31.5" hidden="false" customHeight="true" outlineLevel="0" collapsed="false">
      <c r="A23" s="5" t="s">
        <v>20</v>
      </c>
      <c r="B23" s="5"/>
      <c r="C23" s="5"/>
      <c r="D23" s="5"/>
      <c r="E23" s="5"/>
      <c r="F23" s="5"/>
    </row>
    <row r="24" customFormat="false" ht="31.5" hidden="false" customHeight="true" outlineLevel="0" collapsed="false">
      <c r="A24" s="5" t="s">
        <v>21</v>
      </c>
      <c r="B24" s="5"/>
      <c r="C24" s="5"/>
      <c r="D24" s="5"/>
      <c r="E24" s="5"/>
      <c r="F24" s="5"/>
    </row>
    <row r="25" customFormat="false" ht="31.5" hidden="false" customHeight="true" outlineLevel="0" collapsed="false">
      <c r="A25" s="5" t="s">
        <v>22</v>
      </c>
      <c r="B25" s="5"/>
      <c r="C25" s="5"/>
      <c r="D25" s="5"/>
      <c r="E25" s="5"/>
      <c r="F25" s="5"/>
    </row>
    <row r="26" customFormat="false" ht="31.5" hidden="false" customHeight="true" outlineLevel="0" collapsed="false">
      <c r="A26" s="5" t="s">
        <v>23</v>
      </c>
      <c r="B26" s="5"/>
      <c r="C26" s="5"/>
      <c r="D26" s="5"/>
      <c r="E26" s="5"/>
      <c r="F26" s="5"/>
    </row>
  </sheetData>
  <mergeCells count="12">
    <mergeCell ref="A1:F1"/>
    <mergeCell ref="A2:F2"/>
    <mergeCell ref="A3:F3"/>
    <mergeCell ref="A6:F8"/>
    <mergeCell ref="A11:F11"/>
    <mergeCell ref="A12:F12"/>
    <mergeCell ref="A13:F13"/>
    <mergeCell ref="A14:F14"/>
    <mergeCell ref="A23:F23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4"/>
    <col collapsed="false" customWidth="true" hidden="false" outlineLevel="0" max="3" min="3" style="1" width="64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2" t="s">
        <v>24</v>
      </c>
      <c r="B1" s="2"/>
      <c r="C1" s="2"/>
      <c r="D1" s="2"/>
    </row>
    <row r="3" customFormat="false" ht="15" hidden="false" customHeight="true" outlineLevel="0" collapsed="false">
      <c r="A3" s="10" t="s">
        <v>25</v>
      </c>
      <c r="B3" s="10"/>
      <c r="C3" s="10"/>
      <c r="D3" s="10"/>
    </row>
    <row r="4" customFormat="false" ht="15" hidden="false" customHeight="true" outlineLevel="0" collapsed="false">
      <c r="A4" s="1" t="s">
        <v>26</v>
      </c>
      <c r="B4" s="11" t="s">
        <v>27</v>
      </c>
    </row>
    <row r="5" customFormat="false" ht="15" hidden="false" customHeight="true" outlineLevel="0" collapsed="false">
      <c r="A5" s="1" t="s">
        <v>28</v>
      </c>
      <c r="B5" s="12" t="n">
        <v>13</v>
      </c>
      <c r="C5" s="13" t="s">
        <v>29</v>
      </c>
    </row>
    <row r="6" customFormat="false" ht="15" hidden="false" customHeight="true" outlineLevel="0" collapsed="false">
      <c r="A6" s="1" t="s">
        <v>30</v>
      </c>
      <c r="B6" s="14" t="n">
        <v>5</v>
      </c>
      <c r="C6" s="13" t="s">
        <v>31</v>
      </c>
    </row>
    <row r="7" customFormat="false" ht="15" hidden="false" customHeight="true" outlineLevel="0" collapsed="false">
      <c r="A7" s="1" t="s">
        <v>32</v>
      </c>
      <c r="B7" s="15" t="n">
        <f aca="false">B5*B6</f>
        <v>65</v>
      </c>
    </row>
    <row r="8" customFormat="false" ht="15" hidden="false" customHeight="true" outlineLevel="0" collapsed="false">
      <c r="A8" s="1" t="s">
        <v>33</v>
      </c>
      <c r="B8" s="15" t="n">
        <f aca="false">B7*12</f>
        <v>780</v>
      </c>
    </row>
    <row r="10" customFormat="false" ht="15" hidden="false" customHeight="true" outlineLevel="0" collapsed="false">
      <c r="A10" s="10" t="s">
        <v>34</v>
      </c>
      <c r="B10" s="10"/>
      <c r="C10" s="10"/>
      <c r="D10" s="10"/>
    </row>
    <row r="11" customFormat="false" ht="15" hidden="false" customHeight="true" outlineLevel="0" collapsed="false">
      <c r="A11" s="1" t="s">
        <v>35</v>
      </c>
      <c r="B11" s="16" t="n">
        <v>0.3</v>
      </c>
    </row>
    <row r="12" customFormat="false" ht="15" hidden="false" customHeight="true" outlineLevel="0" collapsed="false">
      <c r="A12" s="1" t="s">
        <v>36</v>
      </c>
      <c r="B12" s="16" t="n">
        <v>0.55</v>
      </c>
    </row>
    <row r="13" customFormat="false" ht="15" hidden="false" customHeight="true" outlineLevel="0" collapsed="false">
      <c r="A13" s="1" t="s">
        <v>37</v>
      </c>
      <c r="B13" s="16" t="n">
        <v>0.15</v>
      </c>
    </row>
    <row r="14" customFormat="false" ht="15" hidden="false" customHeight="true" outlineLevel="0" collapsed="false">
      <c r="A14" s="1" t="s">
        <v>38</v>
      </c>
      <c r="B14" s="17" t="n">
        <f aca="false">B11+B12+B13</f>
        <v>1</v>
      </c>
    </row>
    <row r="15" customFormat="false" ht="15" hidden="false" customHeight="true" outlineLevel="0" collapsed="false">
      <c r="A15" s="1" t="s">
        <v>39</v>
      </c>
      <c r="B15" s="15" t="n">
        <f aca="false">B11*1.99+B12*4.99+B13*9.99</f>
        <v>4.84</v>
      </c>
    </row>
    <row r="17" customFormat="false" ht="15" hidden="false" customHeight="true" outlineLevel="0" collapsed="false">
      <c r="A17" s="10" t="s">
        <v>40</v>
      </c>
      <c r="B17" s="10"/>
      <c r="C17" s="10"/>
      <c r="D17" s="10"/>
    </row>
    <row r="18" customFormat="false" ht="15" hidden="false" customHeight="true" outlineLevel="0" collapsed="false">
      <c r="A18" s="1" t="s">
        <v>41</v>
      </c>
      <c r="B18" s="7" t="s">
        <v>42</v>
      </c>
      <c r="C18" s="13" t="s">
        <v>43</v>
      </c>
    </row>
    <row r="19" customFormat="false" ht="15" hidden="false" customHeight="true" outlineLevel="0" collapsed="false">
      <c r="A19" s="1" t="s">
        <v>44</v>
      </c>
      <c r="B19" s="7" t="s">
        <v>45</v>
      </c>
      <c r="C19" s="13" t="s">
        <v>46</v>
      </c>
    </row>
    <row r="20" customFormat="false" ht="15" hidden="false" customHeight="true" outlineLevel="0" collapsed="false">
      <c r="A20" s="1" t="s">
        <v>47</v>
      </c>
      <c r="B20" s="7" t="s">
        <v>48</v>
      </c>
      <c r="C20" s="13" t="s">
        <v>49</v>
      </c>
    </row>
    <row r="21" customFormat="false" ht="15" hidden="false" customHeight="true" outlineLevel="0" collapsed="false">
      <c r="A21" s="1" t="s">
        <v>50</v>
      </c>
      <c r="B21" s="7" t="s">
        <v>51</v>
      </c>
      <c r="C21" s="13" t="s">
        <v>52</v>
      </c>
    </row>
    <row r="23" customFormat="false" ht="15" hidden="false" customHeight="true" outlineLevel="0" collapsed="false">
      <c r="A23" s="10" t="s">
        <v>53</v>
      </c>
      <c r="B23" s="10"/>
      <c r="C23" s="10"/>
      <c r="D23" s="10"/>
    </row>
    <row r="24" customFormat="false" ht="15" hidden="false" customHeight="true" outlineLevel="0" collapsed="false">
      <c r="A24" s="1" t="s">
        <v>54</v>
      </c>
      <c r="B24" s="18" t="n">
        <v>0.08</v>
      </c>
      <c r="C24" s="13" t="s">
        <v>55</v>
      </c>
    </row>
    <row r="25" customFormat="false" ht="15" hidden="false" customHeight="true" outlineLevel="0" collapsed="false">
      <c r="A25" s="1" t="s">
        <v>56</v>
      </c>
      <c r="B25" s="18" t="n">
        <v>0.02</v>
      </c>
      <c r="C25" s="13" t="s">
        <v>57</v>
      </c>
    </row>
    <row r="27" customFormat="false" ht="15" hidden="false" customHeight="true" outlineLevel="0" collapsed="false">
      <c r="A27" s="10" t="s">
        <v>58</v>
      </c>
      <c r="B27" s="10"/>
      <c r="C27" s="10"/>
      <c r="D27" s="10"/>
    </row>
    <row r="28" customFormat="false" ht="15" hidden="false" customHeight="true" outlineLevel="0" collapsed="false">
      <c r="A28" s="1" t="s">
        <v>59</v>
      </c>
      <c r="B28" s="19" t="n">
        <v>250</v>
      </c>
      <c r="C28" s="13" t="s">
        <v>60</v>
      </c>
    </row>
    <row r="29" customFormat="false" ht="15" hidden="false" customHeight="true" outlineLevel="0" collapsed="false">
      <c r="A29" s="1" t="s">
        <v>61</v>
      </c>
      <c r="B29" s="19" t="n">
        <v>250</v>
      </c>
    </row>
    <row r="30" customFormat="false" ht="15" hidden="false" customHeight="true" outlineLevel="0" collapsed="false">
      <c r="A30" s="1" t="s">
        <v>62</v>
      </c>
      <c r="B30" s="19" t="n">
        <v>750</v>
      </c>
    </row>
    <row r="31" customFormat="false" ht="15" hidden="false" customHeight="true" outlineLevel="0" collapsed="false">
      <c r="A31" s="1" t="s">
        <v>63</v>
      </c>
      <c r="B31" s="19" t="n">
        <v>2500</v>
      </c>
    </row>
    <row r="33" customFormat="false" ht="15" hidden="false" customHeight="true" outlineLevel="0" collapsed="false">
      <c r="A33" s="10" t="s">
        <v>64</v>
      </c>
      <c r="B33" s="10"/>
      <c r="C33" s="10"/>
      <c r="D33" s="10"/>
    </row>
    <row r="34" customFormat="false" ht="15" hidden="false" customHeight="true" outlineLevel="0" collapsed="false">
      <c r="A34" s="1" t="s">
        <v>65</v>
      </c>
      <c r="B34" s="20" t="n">
        <v>2</v>
      </c>
      <c r="C34" s="13" t="s">
        <v>66</v>
      </c>
    </row>
    <row r="35" customFormat="false" ht="15" hidden="false" customHeight="true" outlineLevel="0" collapsed="false">
      <c r="A35" s="1" t="s">
        <v>67</v>
      </c>
      <c r="B35" s="20" t="n">
        <v>3</v>
      </c>
      <c r="C35" s="13" t="s">
        <v>68</v>
      </c>
    </row>
    <row r="36" customFormat="false" ht="15" hidden="false" customHeight="true" outlineLevel="0" collapsed="false">
      <c r="A36" s="1" t="s">
        <v>69</v>
      </c>
      <c r="B36" s="20" t="n">
        <v>4</v>
      </c>
      <c r="C36" s="13" t="s">
        <v>70</v>
      </c>
    </row>
    <row r="38" customFormat="false" ht="15" hidden="false" customHeight="true" outlineLevel="0" collapsed="false">
      <c r="A38" s="10" t="s">
        <v>71</v>
      </c>
      <c r="B38" s="10"/>
      <c r="C38" s="10"/>
      <c r="D38" s="10"/>
    </row>
    <row r="39" customFormat="false" ht="15" hidden="false" customHeight="true" outlineLevel="0" collapsed="false">
      <c r="A39" s="1" t="s">
        <v>72</v>
      </c>
      <c r="B39" s="20" t="n">
        <v>3</v>
      </c>
      <c r="C39" s="13" t="s">
        <v>73</v>
      </c>
    </row>
    <row r="40" customFormat="false" ht="15" hidden="false" customHeight="true" outlineLevel="0" collapsed="false">
      <c r="A40" s="1" t="s">
        <v>74</v>
      </c>
      <c r="B40" s="20" t="n">
        <v>5</v>
      </c>
    </row>
    <row r="41" customFormat="false" ht="15" hidden="false" customHeight="true" outlineLevel="0" collapsed="false">
      <c r="A41" s="1" t="s">
        <v>75</v>
      </c>
      <c r="B41" s="20" t="n">
        <v>10</v>
      </c>
    </row>
    <row r="42" customFormat="false" ht="15" hidden="false" customHeight="true" outlineLevel="0" collapsed="false">
      <c r="A42" s="1" t="s">
        <v>76</v>
      </c>
      <c r="B42" s="20" t="n">
        <v>25</v>
      </c>
      <c r="C42" s="13" t="s">
        <v>77</v>
      </c>
    </row>
    <row r="44" customFormat="false" ht="15" hidden="false" customHeight="true" outlineLevel="0" collapsed="false">
      <c r="A44" s="10" t="s">
        <v>78</v>
      </c>
      <c r="B44" s="10"/>
      <c r="C44" s="10"/>
      <c r="D44" s="10"/>
    </row>
    <row r="45" customFormat="false" ht="15" hidden="false" customHeight="true" outlineLevel="0" collapsed="false">
      <c r="A45" s="1" t="s">
        <v>79</v>
      </c>
      <c r="B45" s="21" t="n">
        <v>2</v>
      </c>
      <c r="C45" s="13" t="s">
        <v>80</v>
      </c>
    </row>
    <row r="46" customFormat="false" ht="15" hidden="false" customHeight="true" outlineLevel="0" collapsed="false">
      <c r="A46" s="1" t="s">
        <v>81</v>
      </c>
      <c r="B46" s="20" t="n">
        <v>9</v>
      </c>
    </row>
    <row r="47" customFormat="false" ht="15" hidden="false" customHeight="true" outlineLevel="0" collapsed="false">
      <c r="A47" s="1" t="s">
        <v>82</v>
      </c>
      <c r="B47" s="20" t="n">
        <v>5</v>
      </c>
    </row>
    <row r="48" customFormat="false" ht="15" hidden="false" customHeight="true" outlineLevel="0" collapsed="false">
      <c r="A48" s="1" t="s">
        <v>83</v>
      </c>
      <c r="B48" s="22" t="n">
        <f aca="false">B47/B45</f>
        <v>2.5</v>
      </c>
    </row>
    <row r="49" customFormat="false" ht="15" hidden="false" customHeight="true" outlineLevel="0" collapsed="false">
      <c r="A49" s="1" t="s">
        <v>84</v>
      </c>
      <c r="B49" s="23" t="n">
        <f aca="false">B4+B48*7</f>
        <v>46182.5</v>
      </c>
    </row>
    <row r="50" customFormat="false" ht="15" hidden="false" customHeight="true" outlineLevel="0" collapsed="false">
      <c r="A50" s="1" t="s">
        <v>85</v>
      </c>
      <c r="B50" s="22" t="n">
        <f aca="false">B46/B45+2</f>
        <v>6.5</v>
      </c>
      <c r="C50" s="13" t="s">
        <v>86</v>
      </c>
    </row>
    <row r="51" customFormat="false" ht="15" hidden="false" customHeight="true" outlineLevel="0" collapsed="false">
      <c r="A51" s="1" t="s">
        <v>87</v>
      </c>
      <c r="B51" s="23" t="n">
        <f aca="false">B4+B50*7</f>
        <v>46210.5</v>
      </c>
    </row>
    <row r="52" customFormat="false" ht="15" hidden="false" customHeight="true" outlineLevel="0" collapsed="false">
      <c r="A52" s="1" t="s">
        <v>88</v>
      </c>
      <c r="B52" s="24" t="n">
        <f aca="false">ROUNDUP(B50/4.33,0)</f>
        <v>2</v>
      </c>
      <c r="C52" s="13" t="s">
        <v>89</v>
      </c>
    </row>
  </sheetData>
  <mergeCells count="9">
    <mergeCell ref="A1:D1"/>
    <mergeCell ref="A3:D3"/>
    <mergeCell ref="A10:D10"/>
    <mergeCell ref="A17:D17"/>
    <mergeCell ref="A23:D23"/>
    <mergeCell ref="A27:D27"/>
    <mergeCell ref="A33:D33"/>
    <mergeCell ref="A38:D38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9" min="3" style="1" width="16"/>
  </cols>
  <sheetData>
    <row r="1" customFormat="false" ht="17.2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0" t="s">
        <v>91</v>
      </c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true" outlineLevel="0" collapsed="false">
      <c r="A4" s="25" t="s">
        <v>92</v>
      </c>
      <c r="B4" s="25" t="s">
        <v>93</v>
      </c>
      <c r="C4" s="25" t="s">
        <v>94</v>
      </c>
      <c r="D4" s="25" t="s">
        <v>95</v>
      </c>
      <c r="E4" s="25" t="s">
        <v>96</v>
      </c>
      <c r="F4" s="25" t="s">
        <v>97</v>
      </c>
      <c r="G4" s="25" t="s">
        <v>98</v>
      </c>
      <c r="H4" s="25" t="s">
        <v>99</v>
      </c>
      <c r="I4" s="25" t="s">
        <v>100</v>
      </c>
    </row>
    <row r="5" customFormat="false" ht="15" hidden="false" customHeight="true" outlineLevel="0" collapsed="false">
      <c r="A5" s="26" t="n">
        <v>1</v>
      </c>
      <c r="B5" s="27" t="n">
        <f aca="false">EDATE(Assumptions!$B$4,1)</f>
        <v>46196</v>
      </c>
      <c r="C5" s="28" t="n">
        <f aca="false">IF(1&lt;=Assumptions!$B$52, Assumptions!$B$28, MIN(Assumptions!$B$28+(1-Assumptions!$B$52)/3*(Assumptions!$B$29-Assumptions!$B$28), Assumptions!$B$29))</f>
        <v>250</v>
      </c>
      <c r="D5" s="26" t="n">
        <f aca="false">C5/100*Assumptions!$B$34</f>
        <v>5</v>
      </c>
      <c r="E5" s="29" t="n">
        <f aca="false">IF(1&lt;=Assumptions!$B$52, Assumptions!$B$39, Assumptions!$B$40)</f>
        <v>3</v>
      </c>
      <c r="F5" s="26" t="n">
        <f aca="false">ROUND(Assumptions!$B$5*Assumptions!$B$24,0)</f>
        <v>1</v>
      </c>
      <c r="G5" s="30" t="n">
        <f aca="false">Assumptions!$B$5+D5+E5-F5</f>
        <v>20</v>
      </c>
      <c r="H5" s="31" t="n">
        <f aca="false">IF(G5=0,0,(Assumptions!$B$5*Assumptions!$B$6+(G5-Assumptions!$B$5)*Assumptions!$B$15)/G5*G5)</f>
        <v>98.88</v>
      </c>
      <c r="I5" s="32" t="n">
        <f aca="false">H5*12</f>
        <v>1186.56</v>
      </c>
    </row>
    <row r="6" customFormat="false" ht="15" hidden="false" customHeight="true" outlineLevel="0" collapsed="false">
      <c r="A6" s="26" t="n">
        <v>2</v>
      </c>
      <c r="B6" s="27" t="n">
        <f aca="false">EDATE(Assumptions!$B$4,2)</f>
        <v>46226</v>
      </c>
      <c r="C6" s="28" t="n">
        <f aca="false">IF(2&lt;=Assumptions!$B$52, Assumptions!$B$28, MIN(Assumptions!$B$28+(2-Assumptions!$B$52)/3*(Assumptions!$B$29-Assumptions!$B$28), Assumptions!$B$29))</f>
        <v>250</v>
      </c>
      <c r="D6" s="26" t="n">
        <f aca="false">C6/100*Assumptions!$B$34</f>
        <v>5</v>
      </c>
      <c r="E6" s="29" t="n">
        <f aca="false">IF(2&lt;=Assumptions!$B$52, Assumptions!$B$39, Assumptions!$B$40)</f>
        <v>3</v>
      </c>
      <c r="F6" s="26" t="n">
        <f aca="false">ROUND(G5*Assumptions!$B$24,0)</f>
        <v>2</v>
      </c>
      <c r="G6" s="30" t="n">
        <f aca="false">G5+D6+E6-F6</f>
        <v>26</v>
      </c>
      <c r="H6" s="31" t="n">
        <f aca="false">IF(G6=0,0,(Assumptions!$B$5*Assumptions!$B$6+(G6-Assumptions!$B$5)*Assumptions!$B$15)/G6*G6)</f>
        <v>127.92</v>
      </c>
      <c r="I6" s="32" t="n">
        <f aca="false">H6*12</f>
        <v>1535.04</v>
      </c>
    </row>
    <row r="7" customFormat="false" ht="15" hidden="false" customHeight="true" outlineLevel="0" collapsed="false">
      <c r="A7" s="26" t="n">
        <v>3</v>
      </c>
      <c r="B7" s="27" t="n">
        <f aca="false">EDATE(Assumptions!$B$4,3)</f>
        <v>46257</v>
      </c>
      <c r="C7" s="28" t="n">
        <f aca="false">IF(3&lt;=Assumptions!$B$52, Assumptions!$B$28, MIN(Assumptions!$B$28+(3-Assumptions!$B$52)/3*(Assumptions!$B$29-Assumptions!$B$28), Assumptions!$B$29))</f>
        <v>250</v>
      </c>
      <c r="D7" s="26" t="n">
        <f aca="false">C7/100*Assumptions!$B$34</f>
        <v>5</v>
      </c>
      <c r="E7" s="29" t="n">
        <f aca="false">IF(3&lt;=Assumptions!$B$52, Assumptions!$B$39, Assumptions!$B$40)</f>
        <v>5</v>
      </c>
      <c r="F7" s="26" t="n">
        <f aca="false">ROUND(G6*Assumptions!$B$24,0)</f>
        <v>2</v>
      </c>
      <c r="G7" s="30" t="n">
        <f aca="false">G6+D7+E7-F7</f>
        <v>34</v>
      </c>
      <c r="H7" s="31" t="n">
        <f aca="false">IF(G7=0,0,(Assumptions!$B$5*Assumptions!$B$6+(G7-Assumptions!$B$5)*Assumptions!$B$15)/G7*G7)</f>
        <v>166.64</v>
      </c>
      <c r="I7" s="32" t="n">
        <f aca="false">H7*12</f>
        <v>1999.68</v>
      </c>
    </row>
    <row r="8" customFormat="false" ht="15" hidden="false" customHeight="true" outlineLevel="0" collapsed="false">
      <c r="A8" s="26" t="n">
        <v>4</v>
      </c>
      <c r="B8" s="27" t="n">
        <f aca="false">EDATE(Assumptions!$B$4,4)</f>
        <v>46288</v>
      </c>
      <c r="C8" s="28" t="n">
        <f aca="false">IF(4&lt;=Assumptions!$B$52, Assumptions!$B$28, MIN(Assumptions!$B$28+(4-Assumptions!$B$52)/3*(Assumptions!$B$29-Assumptions!$B$28), Assumptions!$B$29))</f>
        <v>250</v>
      </c>
      <c r="D8" s="26" t="n">
        <f aca="false">C8/100*Assumptions!$B$34</f>
        <v>5</v>
      </c>
      <c r="E8" s="29" t="n">
        <f aca="false">IF(4&lt;=Assumptions!$B$52, Assumptions!$B$39, Assumptions!$B$40)</f>
        <v>5</v>
      </c>
      <c r="F8" s="26" t="n">
        <f aca="false">ROUND(G7*Assumptions!$B$24,0)</f>
        <v>3</v>
      </c>
      <c r="G8" s="30" t="n">
        <f aca="false">G7+D8+E8-F8</f>
        <v>41</v>
      </c>
      <c r="H8" s="31" t="n">
        <f aca="false">IF(G8=0,0,(Assumptions!$B$5*Assumptions!$B$6+(G8-Assumptions!$B$5)*Assumptions!$B$15)/G8*G8)</f>
        <v>200.52</v>
      </c>
      <c r="I8" s="32" t="n">
        <f aca="false">H8*12</f>
        <v>2406.24</v>
      </c>
    </row>
    <row r="9" customFormat="false" ht="15" hidden="false" customHeight="true" outlineLevel="0" collapsed="false">
      <c r="A9" s="26" t="n">
        <v>5</v>
      </c>
      <c r="B9" s="27" t="n">
        <f aca="false">EDATE(Assumptions!$B$4,5)</f>
        <v>46318</v>
      </c>
      <c r="C9" s="28" t="n">
        <f aca="false">IF(5&lt;=Assumptions!$B$52, Assumptions!$B$28, MIN(Assumptions!$B$28+(5-Assumptions!$B$52)/3*(Assumptions!$B$29-Assumptions!$B$28), Assumptions!$B$29))</f>
        <v>250</v>
      </c>
      <c r="D9" s="26" t="n">
        <f aca="false">C9/100*Assumptions!$B$34</f>
        <v>5</v>
      </c>
      <c r="E9" s="29" t="n">
        <f aca="false">IF(5&lt;=Assumptions!$B$52, Assumptions!$B$39, Assumptions!$B$40)</f>
        <v>5</v>
      </c>
      <c r="F9" s="26" t="n">
        <f aca="false">ROUND(G8*Assumptions!$B$24,0)</f>
        <v>3</v>
      </c>
      <c r="G9" s="30" t="n">
        <f aca="false">G8+D9+E9-F9</f>
        <v>48</v>
      </c>
      <c r="H9" s="31" t="n">
        <f aca="false">IF(G9=0,0,(Assumptions!$B$5*Assumptions!$B$6+(G9-Assumptions!$B$5)*Assumptions!$B$15)/G9*G9)</f>
        <v>234.4</v>
      </c>
      <c r="I9" s="32" t="n">
        <f aca="false">H9*12</f>
        <v>2812.8</v>
      </c>
    </row>
    <row r="10" customFormat="false" ht="15" hidden="false" customHeight="true" outlineLevel="0" collapsed="false">
      <c r="A10" s="26" t="n">
        <v>6</v>
      </c>
      <c r="B10" s="27" t="n">
        <f aca="false">EDATE(Assumptions!$B$4,6)</f>
        <v>46349</v>
      </c>
      <c r="C10" s="28" t="n">
        <f aca="false">IF(6&lt;=Assumptions!$B$52, Assumptions!$B$28, MIN(Assumptions!$B$28+(6-Assumptions!$B$52)/3*(Assumptions!$B$29-Assumptions!$B$28), Assumptions!$B$29))</f>
        <v>250</v>
      </c>
      <c r="D10" s="26" t="n">
        <f aca="false">C10/100*Assumptions!$B$34</f>
        <v>5</v>
      </c>
      <c r="E10" s="29" t="n">
        <f aca="false">IF(6&lt;=Assumptions!$B$52, Assumptions!$B$39, Assumptions!$B$40)</f>
        <v>5</v>
      </c>
      <c r="F10" s="26" t="n">
        <f aca="false">ROUND(G9*Assumptions!$B$24,0)</f>
        <v>4</v>
      </c>
      <c r="G10" s="30" t="n">
        <f aca="false">G9+D10+E10-F10</f>
        <v>54</v>
      </c>
      <c r="H10" s="31" t="n">
        <f aca="false">IF(G10=0,0,(Assumptions!$B$5*Assumptions!$B$6+(G10-Assumptions!$B$5)*Assumptions!$B$15)/G10*G10)</f>
        <v>263.44</v>
      </c>
      <c r="I10" s="32" t="n">
        <f aca="false">H10*12</f>
        <v>3161.28</v>
      </c>
    </row>
    <row r="11" customFormat="false" ht="15" hidden="false" customHeight="true" outlineLevel="0" collapsed="false">
      <c r="A11" s="26" t="n">
        <v>7</v>
      </c>
      <c r="B11" s="27" t="n">
        <f aca="false">EDATE(Assumptions!$B$4,7)</f>
        <v>46379</v>
      </c>
      <c r="C11" s="28" t="n">
        <f aca="false">IF(7&lt;=Assumptions!$B$52, Assumptions!$B$28, MIN(Assumptions!$B$28+(7-Assumptions!$B$52)/3*(Assumptions!$B$29-Assumptions!$B$28), Assumptions!$B$29))</f>
        <v>250</v>
      </c>
      <c r="D11" s="26" t="n">
        <f aca="false">C11/100*Assumptions!$B$34</f>
        <v>5</v>
      </c>
      <c r="E11" s="29" t="n">
        <f aca="false">IF(7&lt;=Assumptions!$B$52, Assumptions!$B$39, Assumptions!$B$40)</f>
        <v>5</v>
      </c>
      <c r="F11" s="26" t="n">
        <f aca="false">ROUND(G10*Assumptions!$B$24,0)</f>
        <v>4</v>
      </c>
      <c r="G11" s="30" t="n">
        <f aca="false">G10+D11+E11-F11</f>
        <v>60</v>
      </c>
      <c r="H11" s="31" t="n">
        <f aca="false">IF(G11=0,0,(Assumptions!$B$5*Assumptions!$B$6+(G11-Assumptions!$B$5)*Assumptions!$B$15)/G11*G11)</f>
        <v>292.48</v>
      </c>
      <c r="I11" s="32" t="n">
        <f aca="false">H11*12</f>
        <v>3509.76</v>
      </c>
    </row>
    <row r="12" customFormat="false" ht="15" hidden="false" customHeight="true" outlineLevel="0" collapsed="false">
      <c r="A12" s="26" t="n">
        <v>8</v>
      </c>
      <c r="B12" s="27" t="n">
        <f aca="false">EDATE(Assumptions!$B$4,8)</f>
        <v>46410</v>
      </c>
      <c r="C12" s="28" t="n">
        <f aca="false">IF(8&lt;=Assumptions!$B$52, Assumptions!$B$28, MIN(Assumptions!$B$28+(8-Assumptions!$B$52)/3*(Assumptions!$B$29-Assumptions!$B$28), Assumptions!$B$29))</f>
        <v>250</v>
      </c>
      <c r="D12" s="26" t="n">
        <f aca="false">C12/100*Assumptions!$B$34</f>
        <v>5</v>
      </c>
      <c r="E12" s="29" t="n">
        <f aca="false">IF(8&lt;=Assumptions!$B$52, Assumptions!$B$39, Assumptions!$B$40)</f>
        <v>5</v>
      </c>
      <c r="F12" s="26" t="n">
        <f aca="false">ROUND(G11*Assumptions!$B$24,0)</f>
        <v>5</v>
      </c>
      <c r="G12" s="30" t="n">
        <f aca="false">G11+D12+E12-F12</f>
        <v>65</v>
      </c>
      <c r="H12" s="31" t="n">
        <f aca="false">IF(G12=0,0,(Assumptions!$B$5*Assumptions!$B$6+(G12-Assumptions!$B$5)*Assumptions!$B$15)/G12*G12)</f>
        <v>316.68</v>
      </c>
      <c r="I12" s="32" t="n">
        <f aca="false">H12*12</f>
        <v>3800.16</v>
      </c>
    </row>
    <row r="13" customFormat="false" ht="15" hidden="false" customHeight="true" outlineLevel="0" collapsed="false">
      <c r="A13" s="26" t="n">
        <v>9</v>
      </c>
      <c r="B13" s="27" t="n">
        <f aca="false">EDATE(Assumptions!$B$4,9)</f>
        <v>46441</v>
      </c>
      <c r="C13" s="28" t="n">
        <f aca="false">IF(9&lt;=Assumptions!$B$52, Assumptions!$B$28, MIN(Assumptions!$B$28+(9-Assumptions!$B$52)/3*(Assumptions!$B$29-Assumptions!$B$28), Assumptions!$B$29))</f>
        <v>250</v>
      </c>
      <c r="D13" s="26" t="n">
        <f aca="false">C13/100*Assumptions!$B$34</f>
        <v>5</v>
      </c>
      <c r="E13" s="29" t="n">
        <f aca="false">IF(9&lt;=Assumptions!$B$52, Assumptions!$B$39, Assumptions!$B$40)</f>
        <v>5</v>
      </c>
      <c r="F13" s="26" t="n">
        <f aca="false">ROUND(G12*Assumptions!$B$24,0)</f>
        <v>5</v>
      </c>
      <c r="G13" s="30" t="n">
        <f aca="false">G12+D13+E13-F13</f>
        <v>70</v>
      </c>
      <c r="H13" s="31" t="n">
        <f aca="false">IF(G13=0,0,(Assumptions!$B$5*Assumptions!$B$6+(G13-Assumptions!$B$5)*Assumptions!$B$15)/G13*G13)</f>
        <v>340.88</v>
      </c>
      <c r="I13" s="32" t="n">
        <f aca="false">H13*12</f>
        <v>4090.56</v>
      </c>
    </row>
    <row r="14" customFormat="false" ht="15" hidden="false" customHeight="true" outlineLevel="0" collapsed="false">
      <c r="A14" s="26" t="n">
        <v>10</v>
      </c>
      <c r="B14" s="27" t="n">
        <f aca="false">EDATE(Assumptions!$B$4,10)</f>
        <v>46469</v>
      </c>
      <c r="C14" s="28" t="n">
        <f aca="false">IF(10&lt;=Assumptions!$B$52, Assumptions!$B$28, MIN(Assumptions!$B$28+(10-Assumptions!$B$52)/3*(Assumptions!$B$29-Assumptions!$B$28), Assumptions!$B$29))</f>
        <v>250</v>
      </c>
      <c r="D14" s="26" t="n">
        <f aca="false">C14/100*Assumptions!$B$34</f>
        <v>5</v>
      </c>
      <c r="E14" s="29" t="n">
        <f aca="false">IF(10&lt;=Assumptions!$B$52, Assumptions!$B$39, Assumptions!$B$40)</f>
        <v>5</v>
      </c>
      <c r="F14" s="26" t="n">
        <f aca="false">ROUND(G13*Assumptions!$B$24,0)</f>
        <v>6</v>
      </c>
      <c r="G14" s="30" t="n">
        <f aca="false">G13+D14+E14-F14</f>
        <v>74</v>
      </c>
      <c r="H14" s="31" t="n">
        <f aca="false">IF(G14=0,0,(Assumptions!$B$5*Assumptions!$B$6+(G14-Assumptions!$B$5)*Assumptions!$B$15)/G14*G14)</f>
        <v>360.24</v>
      </c>
      <c r="I14" s="32" t="n">
        <f aca="false">H14*12</f>
        <v>4322.88</v>
      </c>
    </row>
    <row r="15" customFormat="false" ht="15" hidden="false" customHeight="true" outlineLevel="0" collapsed="false">
      <c r="A15" s="26" t="n">
        <v>11</v>
      </c>
      <c r="B15" s="27" t="n">
        <f aca="false">EDATE(Assumptions!$B$4,11)</f>
        <v>46500</v>
      </c>
      <c r="C15" s="28" t="n">
        <f aca="false">IF(11&lt;=Assumptions!$B$52, Assumptions!$B$28, MIN(Assumptions!$B$28+(11-Assumptions!$B$52)/3*(Assumptions!$B$29-Assumptions!$B$28), Assumptions!$B$29))</f>
        <v>250</v>
      </c>
      <c r="D15" s="26" t="n">
        <f aca="false">C15/100*Assumptions!$B$34</f>
        <v>5</v>
      </c>
      <c r="E15" s="29" t="n">
        <f aca="false">IF(11&lt;=Assumptions!$B$52, Assumptions!$B$39, Assumptions!$B$40)</f>
        <v>5</v>
      </c>
      <c r="F15" s="26" t="n">
        <f aca="false">ROUND(G14*Assumptions!$B$24,0)</f>
        <v>6</v>
      </c>
      <c r="G15" s="30" t="n">
        <f aca="false">G14+D15+E15-F15</f>
        <v>78</v>
      </c>
      <c r="H15" s="31" t="n">
        <f aca="false">IF(G15=0,0,(Assumptions!$B$5*Assumptions!$B$6+(G15-Assumptions!$B$5)*Assumptions!$B$15)/G15*G15)</f>
        <v>379.6</v>
      </c>
      <c r="I15" s="32" t="n">
        <f aca="false">H15*12</f>
        <v>4555.2</v>
      </c>
    </row>
    <row r="16" customFormat="false" ht="15" hidden="false" customHeight="true" outlineLevel="0" collapsed="false">
      <c r="A16" s="26" t="n">
        <v>12</v>
      </c>
      <c r="B16" s="27" t="n">
        <f aca="false">EDATE(Assumptions!$B$4,12)</f>
        <v>46530</v>
      </c>
      <c r="C16" s="28" t="n">
        <f aca="false">IF(12&lt;=Assumptions!$B$52, Assumptions!$B$28, MIN(Assumptions!$B$28+(12-Assumptions!$B$52)/3*(Assumptions!$B$29-Assumptions!$B$28), Assumptions!$B$29))</f>
        <v>250</v>
      </c>
      <c r="D16" s="26" t="n">
        <f aca="false">C16/100*Assumptions!$B$34</f>
        <v>5</v>
      </c>
      <c r="E16" s="29" t="n">
        <f aca="false">IF(12&lt;=Assumptions!$B$52, Assumptions!$B$39, Assumptions!$B$40)</f>
        <v>5</v>
      </c>
      <c r="F16" s="26" t="n">
        <f aca="false">ROUND(G15*Assumptions!$B$24,0)</f>
        <v>6</v>
      </c>
      <c r="G16" s="30" t="n">
        <f aca="false">G15+D16+E16-F16</f>
        <v>82</v>
      </c>
      <c r="H16" s="31" t="n">
        <f aca="false">IF(G16=0,0,(Assumptions!$B$5*Assumptions!$B$6+(G16-Assumptions!$B$5)*Assumptions!$B$15)/G16*G16)</f>
        <v>398.96</v>
      </c>
      <c r="I16" s="32" t="n">
        <f aca="false">H16*12</f>
        <v>4787.52</v>
      </c>
    </row>
    <row r="19" customFormat="false" ht="15" hidden="false" customHeight="true" outlineLevel="0" collapsed="false">
      <c r="A19" s="10" t="s">
        <v>101</v>
      </c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25" t="s">
        <v>92</v>
      </c>
      <c r="B20" s="25" t="s">
        <v>93</v>
      </c>
      <c r="C20" s="25" t="s">
        <v>94</v>
      </c>
      <c r="D20" s="25" t="s">
        <v>95</v>
      </c>
      <c r="E20" s="25" t="s">
        <v>96</v>
      </c>
      <c r="F20" s="25" t="s">
        <v>97</v>
      </c>
      <c r="G20" s="25" t="s">
        <v>98</v>
      </c>
      <c r="H20" s="25" t="s">
        <v>99</v>
      </c>
      <c r="I20" s="25" t="s">
        <v>100</v>
      </c>
    </row>
    <row r="21" customFormat="false" ht="15" hidden="false" customHeight="true" outlineLevel="0" collapsed="false">
      <c r="A21" s="26" t="n">
        <v>1</v>
      </c>
      <c r="B21" s="27" t="n">
        <f aca="false">EDATE(Assumptions!$B$4,1)</f>
        <v>46196</v>
      </c>
      <c r="C21" s="28" t="n">
        <f aca="false">IF(1&lt;=Assumptions!$B$52, Assumptions!$B$28, MIN(Assumptions!$B$28+(1-Assumptions!$B$52)/3*(Assumptions!$B$30-Assumptions!$B$28), Assumptions!$B$30))</f>
        <v>250</v>
      </c>
      <c r="D21" s="26" t="n">
        <f aca="false">C21/100*Assumptions!$B$35</f>
        <v>7.5</v>
      </c>
      <c r="E21" s="29" t="n">
        <f aca="false">IF(1&lt;=Assumptions!$B$52, Assumptions!$B$39, Assumptions!$B$41)</f>
        <v>3</v>
      </c>
      <c r="F21" s="26" t="n">
        <f aca="false">ROUND(Assumptions!$B$5*Assumptions!$B$24,0)</f>
        <v>1</v>
      </c>
      <c r="G21" s="30" t="n">
        <f aca="false">Assumptions!$B$5+D21+E21-F21</f>
        <v>22.5</v>
      </c>
      <c r="H21" s="31" t="n">
        <f aca="false">IF(G21=0,0,(Assumptions!$B$5*Assumptions!$B$6+(G21-Assumptions!$B$5)*Assumptions!$B$15)/G21*G21)</f>
        <v>110.98</v>
      </c>
      <c r="I21" s="32" t="n">
        <f aca="false">H21*12</f>
        <v>1331.76</v>
      </c>
    </row>
    <row r="22" customFormat="false" ht="15" hidden="false" customHeight="true" outlineLevel="0" collapsed="false">
      <c r="A22" s="26" t="n">
        <v>2</v>
      </c>
      <c r="B22" s="27" t="n">
        <f aca="false">EDATE(Assumptions!$B$4,2)</f>
        <v>46226</v>
      </c>
      <c r="C22" s="28" t="n">
        <f aca="false">IF(2&lt;=Assumptions!$B$52, Assumptions!$B$28, MIN(Assumptions!$B$28+(2-Assumptions!$B$52)/3*(Assumptions!$B$30-Assumptions!$B$28), Assumptions!$B$30))</f>
        <v>250</v>
      </c>
      <c r="D22" s="26" t="n">
        <f aca="false">C22/100*Assumptions!$B$35</f>
        <v>7.5</v>
      </c>
      <c r="E22" s="29" t="n">
        <f aca="false">IF(2&lt;=Assumptions!$B$52, Assumptions!$B$39, Assumptions!$B$41)</f>
        <v>3</v>
      </c>
      <c r="F22" s="26" t="n">
        <f aca="false">ROUND(G21*Assumptions!$B$24,0)</f>
        <v>2</v>
      </c>
      <c r="G22" s="30" t="n">
        <f aca="false">G21+D22+E22-F22</f>
        <v>31</v>
      </c>
      <c r="H22" s="31" t="n">
        <f aca="false">IF(G22=0,0,(Assumptions!$B$5*Assumptions!$B$6+(G22-Assumptions!$B$5)*Assumptions!$B$15)/G22*G22)</f>
        <v>152.12</v>
      </c>
      <c r="I22" s="32" t="n">
        <f aca="false">H22*12</f>
        <v>1825.44</v>
      </c>
    </row>
    <row r="23" customFormat="false" ht="15" hidden="false" customHeight="true" outlineLevel="0" collapsed="false">
      <c r="A23" s="26" t="n">
        <v>3</v>
      </c>
      <c r="B23" s="27" t="n">
        <f aca="false">EDATE(Assumptions!$B$4,3)</f>
        <v>46257</v>
      </c>
      <c r="C23" s="28" t="n">
        <f aca="false">IF(3&lt;=Assumptions!$B$52, Assumptions!$B$28, MIN(Assumptions!$B$28+(3-Assumptions!$B$52)/3*(Assumptions!$B$30-Assumptions!$B$28), Assumptions!$B$30))</f>
        <v>416.666666666667</v>
      </c>
      <c r="D23" s="26" t="n">
        <f aca="false">C23/100*Assumptions!$B$35</f>
        <v>12.5</v>
      </c>
      <c r="E23" s="29" t="n">
        <f aca="false">IF(3&lt;=Assumptions!$B$52, Assumptions!$B$39, Assumptions!$B$41)</f>
        <v>10</v>
      </c>
      <c r="F23" s="26" t="n">
        <f aca="false">ROUND(G22*Assumptions!$B$24,0)</f>
        <v>2</v>
      </c>
      <c r="G23" s="30" t="n">
        <f aca="false">G22+D23+E23-F23</f>
        <v>51.5</v>
      </c>
      <c r="H23" s="31" t="n">
        <f aca="false">IF(G23=0,0,(Assumptions!$B$5*Assumptions!$B$6+(G23-Assumptions!$B$5)*Assumptions!$B$15)/G23*G23)</f>
        <v>251.34</v>
      </c>
      <c r="I23" s="32" t="n">
        <f aca="false">H23*12</f>
        <v>3016.08</v>
      </c>
    </row>
    <row r="24" customFormat="false" ht="15" hidden="false" customHeight="true" outlineLevel="0" collapsed="false">
      <c r="A24" s="26" t="n">
        <v>4</v>
      </c>
      <c r="B24" s="27" t="n">
        <f aca="false">EDATE(Assumptions!$B$4,4)</f>
        <v>46288</v>
      </c>
      <c r="C24" s="28" t="n">
        <f aca="false">IF(4&lt;=Assumptions!$B$52, Assumptions!$B$28, MIN(Assumptions!$B$28+(4-Assumptions!$B$52)/3*(Assumptions!$B$30-Assumptions!$B$28), Assumptions!$B$30))</f>
        <v>583.333333333333</v>
      </c>
      <c r="D24" s="26" t="n">
        <f aca="false">C24/100*Assumptions!$B$35</f>
        <v>17.5</v>
      </c>
      <c r="E24" s="29" t="n">
        <f aca="false">IF(4&lt;=Assumptions!$B$52, Assumptions!$B$39, Assumptions!$B$41)</f>
        <v>10</v>
      </c>
      <c r="F24" s="26" t="n">
        <f aca="false">ROUND(G23*Assumptions!$B$24,0)</f>
        <v>4</v>
      </c>
      <c r="G24" s="30" t="n">
        <f aca="false">G23+D24+E24-F24</f>
        <v>75</v>
      </c>
      <c r="H24" s="31" t="n">
        <f aca="false">IF(G24=0,0,(Assumptions!$B$5*Assumptions!$B$6+(G24-Assumptions!$B$5)*Assumptions!$B$15)/G24*G24)</f>
        <v>365.08</v>
      </c>
      <c r="I24" s="32" t="n">
        <f aca="false">H24*12</f>
        <v>4380.96</v>
      </c>
    </row>
    <row r="25" customFormat="false" ht="15" hidden="false" customHeight="true" outlineLevel="0" collapsed="false">
      <c r="A25" s="26" t="n">
        <v>5</v>
      </c>
      <c r="B25" s="27" t="n">
        <f aca="false">EDATE(Assumptions!$B$4,5)</f>
        <v>46318</v>
      </c>
      <c r="C25" s="28" t="n">
        <f aca="false">IF(5&lt;=Assumptions!$B$52, Assumptions!$B$28, MIN(Assumptions!$B$28+(5-Assumptions!$B$52)/3*(Assumptions!$B$30-Assumptions!$B$28), Assumptions!$B$30))</f>
        <v>750</v>
      </c>
      <c r="D25" s="26" t="n">
        <f aca="false">C25/100*Assumptions!$B$35</f>
        <v>22.5</v>
      </c>
      <c r="E25" s="29" t="n">
        <f aca="false">IF(5&lt;=Assumptions!$B$52, Assumptions!$B$39, Assumptions!$B$41)</f>
        <v>10</v>
      </c>
      <c r="F25" s="26" t="n">
        <f aca="false">ROUND(G24*Assumptions!$B$24,0)</f>
        <v>6</v>
      </c>
      <c r="G25" s="30" t="n">
        <f aca="false">G24+D25+E25-F25</f>
        <v>101.5</v>
      </c>
      <c r="H25" s="31" t="n">
        <f aca="false">IF(G25=0,0,(Assumptions!$B$5*Assumptions!$B$6+(G25-Assumptions!$B$5)*Assumptions!$B$15)/G25*G25)</f>
        <v>493.34</v>
      </c>
      <c r="I25" s="32" t="n">
        <f aca="false">H25*12</f>
        <v>5920.08</v>
      </c>
    </row>
    <row r="26" customFormat="false" ht="15" hidden="false" customHeight="true" outlineLevel="0" collapsed="false">
      <c r="A26" s="26" t="n">
        <v>6</v>
      </c>
      <c r="B26" s="27" t="n">
        <f aca="false">EDATE(Assumptions!$B$4,6)</f>
        <v>46349</v>
      </c>
      <c r="C26" s="28" t="n">
        <f aca="false">IF(6&lt;=Assumptions!$B$52, Assumptions!$B$28, MIN(Assumptions!$B$28+(6-Assumptions!$B$52)/3*(Assumptions!$B$30-Assumptions!$B$28), Assumptions!$B$30))</f>
        <v>750</v>
      </c>
      <c r="D26" s="26" t="n">
        <f aca="false">C26/100*Assumptions!$B$35</f>
        <v>22.5</v>
      </c>
      <c r="E26" s="29" t="n">
        <f aca="false">IF(6&lt;=Assumptions!$B$52, Assumptions!$B$39, Assumptions!$B$41)</f>
        <v>10</v>
      </c>
      <c r="F26" s="26" t="n">
        <f aca="false">ROUND(G25*Assumptions!$B$24,0)</f>
        <v>8</v>
      </c>
      <c r="G26" s="30" t="n">
        <f aca="false">G25+D26+E26-F26</f>
        <v>126</v>
      </c>
      <c r="H26" s="31" t="n">
        <f aca="false">IF(G26=0,0,(Assumptions!$B$5*Assumptions!$B$6+(G26-Assumptions!$B$5)*Assumptions!$B$15)/G26*G26)</f>
        <v>611.92</v>
      </c>
      <c r="I26" s="32" t="n">
        <f aca="false">H26*12</f>
        <v>7343.04</v>
      </c>
    </row>
    <row r="27" customFormat="false" ht="15" hidden="false" customHeight="true" outlineLevel="0" collapsed="false">
      <c r="A27" s="26" t="n">
        <v>7</v>
      </c>
      <c r="B27" s="27" t="n">
        <f aca="false">EDATE(Assumptions!$B$4,7)</f>
        <v>46379</v>
      </c>
      <c r="C27" s="28" t="n">
        <f aca="false">IF(7&lt;=Assumptions!$B$52, Assumptions!$B$28, MIN(Assumptions!$B$28+(7-Assumptions!$B$52)/3*(Assumptions!$B$30-Assumptions!$B$28), Assumptions!$B$30))</f>
        <v>750</v>
      </c>
      <c r="D27" s="26" t="n">
        <f aca="false">C27/100*Assumptions!$B$35</f>
        <v>22.5</v>
      </c>
      <c r="E27" s="29" t="n">
        <f aca="false">IF(7&lt;=Assumptions!$B$52, Assumptions!$B$39, Assumptions!$B$41)</f>
        <v>10</v>
      </c>
      <c r="F27" s="26" t="n">
        <f aca="false">ROUND(G26*Assumptions!$B$24,0)</f>
        <v>10</v>
      </c>
      <c r="G27" s="30" t="n">
        <f aca="false">G26+D27+E27-F27</f>
        <v>148.5</v>
      </c>
      <c r="H27" s="31" t="n">
        <f aca="false">IF(G27=0,0,(Assumptions!$B$5*Assumptions!$B$6+(G27-Assumptions!$B$5)*Assumptions!$B$15)/G27*G27)</f>
        <v>720.82</v>
      </c>
      <c r="I27" s="32" t="n">
        <f aca="false">H27*12</f>
        <v>8649.84</v>
      </c>
    </row>
    <row r="28" customFormat="false" ht="15" hidden="false" customHeight="true" outlineLevel="0" collapsed="false">
      <c r="A28" s="26" t="n">
        <v>8</v>
      </c>
      <c r="B28" s="27" t="n">
        <f aca="false">EDATE(Assumptions!$B$4,8)</f>
        <v>46410</v>
      </c>
      <c r="C28" s="28" t="n">
        <f aca="false">IF(8&lt;=Assumptions!$B$52, Assumptions!$B$28, MIN(Assumptions!$B$28+(8-Assumptions!$B$52)/3*(Assumptions!$B$30-Assumptions!$B$28), Assumptions!$B$30))</f>
        <v>750</v>
      </c>
      <c r="D28" s="26" t="n">
        <f aca="false">C28/100*Assumptions!$B$35</f>
        <v>22.5</v>
      </c>
      <c r="E28" s="29" t="n">
        <f aca="false">IF(8&lt;=Assumptions!$B$52, Assumptions!$B$39, Assumptions!$B$41)</f>
        <v>10</v>
      </c>
      <c r="F28" s="26" t="n">
        <f aca="false">ROUND(G27*Assumptions!$B$24,0)</f>
        <v>12</v>
      </c>
      <c r="G28" s="30" t="n">
        <f aca="false">G27+D28+E28-F28</f>
        <v>169</v>
      </c>
      <c r="H28" s="31" t="n">
        <f aca="false">IF(G28=0,0,(Assumptions!$B$5*Assumptions!$B$6+(G28-Assumptions!$B$5)*Assumptions!$B$15)/G28*G28)</f>
        <v>820.04</v>
      </c>
      <c r="I28" s="32" t="n">
        <f aca="false">H28*12</f>
        <v>9840.48</v>
      </c>
    </row>
    <row r="29" customFormat="false" ht="15" hidden="false" customHeight="true" outlineLevel="0" collapsed="false">
      <c r="A29" s="26" t="n">
        <v>9</v>
      </c>
      <c r="B29" s="27" t="n">
        <f aca="false">EDATE(Assumptions!$B$4,9)</f>
        <v>46441</v>
      </c>
      <c r="C29" s="28" t="n">
        <f aca="false">IF(9&lt;=Assumptions!$B$52, Assumptions!$B$28, MIN(Assumptions!$B$28+(9-Assumptions!$B$52)/3*(Assumptions!$B$30-Assumptions!$B$28), Assumptions!$B$30))</f>
        <v>750</v>
      </c>
      <c r="D29" s="26" t="n">
        <f aca="false">C29/100*Assumptions!$B$35</f>
        <v>22.5</v>
      </c>
      <c r="E29" s="29" t="n">
        <f aca="false">IF(9&lt;=Assumptions!$B$52, Assumptions!$B$39, Assumptions!$B$41)</f>
        <v>10</v>
      </c>
      <c r="F29" s="26" t="n">
        <f aca="false">ROUND(G28*Assumptions!$B$24,0)</f>
        <v>14</v>
      </c>
      <c r="G29" s="30" t="n">
        <f aca="false">G28+D29+E29-F29</f>
        <v>187.5</v>
      </c>
      <c r="H29" s="31" t="n">
        <f aca="false">IF(G29=0,0,(Assumptions!$B$5*Assumptions!$B$6+(G29-Assumptions!$B$5)*Assumptions!$B$15)/G29*G29)</f>
        <v>909.58</v>
      </c>
      <c r="I29" s="32" t="n">
        <f aca="false">H29*12</f>
        <v>10914.96</v>
      </c>
    </row>
    <row r="30" customFormat="false" ht="15" hidden="false" customHeight="true" outlineLevel="0" collapsed="false">
      <c r="A30" s="26" t="n">
        <v>10</v>
      </c>
      <c r="B30" s="27" t="n">
        <f aca="false">EDATE(Assumptions!$B$4,10)</f>
        <v>46469</v>
      </c>
      <c r="C30" s="28" t="n">
        <f aca="false">IF(10&lt;=Assumptions!$B$52, Assumptions!$B$28, MIN(Assumptions!$B$28+(10-Assumptions!$B$52)/3*(Assumptions!$B$30-Assumptions!$B$28), Assumptions!$B$30))</f>
        <v>750</v>
      </c>
      <c r="D30" s="26" t="n">
        <f aca="false">C30/100*Assumptions!$B$35</f>
        <v>22.5</v>
      </c>
      <c r="E30" s="29" t="n">
        <f aca="false">IF(10&lt;=Assumptions!$B$52, Assumptions!$B$39, Assumptions!$B$41)</f>
        <v>10</v>
      </c>
      <c r="F30" s="26" t="n">
        <f aca="false">ROUND(G29*Assumptions!$B$24,0)</f>
        <v>15</v>
      </c>
      <c r="G30" s="30" t="n">
        <f aca="false">G29+D30+E30-F30</f>
        <v>205</v>
      </c>
      <c r="H30" s="31" t="n">
        <f aca="false">IF(G30=0,0,(Assumptions!$B$5*Assumptions!$B$6+(G30-Assumptions!$B$5)*Assumptions!$B$15)/G30*G30)</f>
        <v>994.28</v>
      </c>
      <c r="I30" s="32" t="n">
        <f aca="false">H30*12</f>
        <v>11931.36</v>
      </c>
    </row>
    <row r="31" customFormat="false" ht="15" hidden="false" customHeight="true" outlineLevel="0" collapsed="false">
      <c r="A31" s="26" t="n">
        <v>11</v>
      </c>
      <c r="B31" s="27" t="n">
        <f aca="false">EDATE(Assumptions!$B$4,11)</f>
        <v>46500</v>
      </c>
      <c r="C31" s="28" t="n">
        <f aca="false">IF(11&lt;=Assumptions!$B$52, Assumptions!$B$28, MIN(Assumptions!$B$28+(11-Assumptions!$B$52)/3*(Assumptions!$B$30-Assumptions!$B$28), Assumptions!$B$30))</f>
        <v>750</v>
      </c>
      <c r="D31" s="26" t="n">
        <f aca="false">C31/100*Assumptions!$B$35</f>
        <v>22.5</v>
      </c>
      <c r="E31" s="29" t="n">
        <f aca="false">IF(11&lt;=Assumptions!$B$52, Assumptions!$B$39, Assumptions!$B$41)</f>
        <v>10</v>
      </c>
      <c r="F31" s="26" t="n">
        <f aca="false">ROUND(G30*Assumptions!$B$24,0)</f>
        <v>16</v>
      </c>
      <c r="G31" s="30" t="n">
        <f aca="false">G30+D31+E31-F31</f>
        <v>221.5</v>
      </c>
      <c r="H31" s="31" t="n">
        <f aca="false">IF(G31=0,0,(Assumptions!$B$5*Assumptions!$B$6+(G31-Assumptions!$B$5)*Assumptions!$B$15)/G31*G31)</f>
        <v>1074.14</v>
      </c>
      <c r="I31" s="32" t="n">
        <f aca="false">H31*12</f>
        <v>12889.68</v>
      </c>
    </row>
    <row r="32" customFormat="false" ht="15" hidden="false" customHeight="true" outlineLevel="0" collapsed="false">
      <c r="A32" s="26" t="n">
        <v>12</v>
      </c>
      <c r="B32" s="27" t="n">
        <f aca="false">EDATE(Assumptions!$B$4,12)</f>
        <v>46530</v>
      </c>
      <c r="C32" s="28" t="n">
        <f aca="false">IF(12&lt;=Assumptions!$B$52, Assumptions!$B$28, MIN(Assumptions!$B$28+(12-Assumptions!$B$52)/3*(Assumptions!$B$30-Assumptions!$B$28), Assumptions!$B$30))</f>
        <v>750</v>
      </c>
      <c r="D32" s="26" t="n">
        <f aca="false">C32/100*Assumptions!$B$35</f>
        <v>22.5</v>
      </c>
      <c r="E32" s="29" t="n">
        <f aca="false">IF(12&lt;=Assumptions!$B$52, Assumptions!$B$39, Assumptions!$B$41)</f>
        <v>10</v>
      </c>
      <c r="F32" s="26" t="n">
        <f aca="false">ROUND(G31*Assumptions!$B$24,0)</f>
        <v>18</v>
      </c>
      <c r="G32" s="30" t="n">
        <f aca="false">G31+D32+E32-F32</f>
        <v>236</v>
      </c>
      <c r="H32" s="31" t="n">
        <f aca="false">IF(G32=0,0,(Assumptions!$B$5*Assumptions!$B$6+(G32-Assumptions!$B$5)*Assumptions!$B$15)/G32*G32)</f>
        <v>1144.32</v>
      </c>
      <c r="I32" s="32" t="n">
        <f aca="false">H32*12</f>
        <v>13731.84</v>
      </c>
    </row>
    <row r="35" customFormat="false" ht="15" hidden="false" customHeight="true" outlineLevel="0" collapsed="false">
      <c r="A35" s="10" t="s">
        <v>102</v>
      </c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true" outlineLevel="0" collapsed="false">
      <c r="A36" s="25" t="s">
        <v>92</v>
      </c>
      <c r="B36" s="25" t="s">
        <v>93</v>
      </c>
      <c r="C36" s="25" t="s">
        <v>94</v>
      </c>
      <c r="D36" s="25" t="s">
        <v>95</v>
      </c>
      <c r="E36" s="25" t="s">
        <v>96</v>
      </c>
      <c r="F36" s="25" t="s">
        <v>97</v>
      </c>
      <c r="G36" s="25" t="s">
        <v>98</v>
      </c>
      <c r="H36" s="25" t="s">
        <v>99</v>
      </c>
      <c r="I36" s="25" t="s">
        <v>100</v>
      </c>
    </row>
    <row r="37" customFormat="false" ht="15" hidden="false" customHeight="true" outlineLevel="0" collapsed="false">
      <c r="A37" s="26" t="n">
        <v>1</v>
      </c>
      <c r="B37" s="27" t="n">
        <f aca="false">EDATE(Assumptions!$B$4,1)</f>
        <v>46196</v>
      </c>
      <c r="C37" s="28" t="n">
        <f aca="false">IF(1&lt;=Assumptions!$B$52, Assumptions!$B$28, MIN(Assumptions!$B$28+(1-Assumptions!$B$52)/3*(Assumptions!$B$31-Assumptions!$B$28), Assumptions!$B$31))</f>
        <v>250</v>
      </c>
      <c r="D37" s="26" t="n">
        <f aca="false">C37/100*Assumptions!$B$36</f>
        <v>10</v>
      </c>
      <c r="E37" s="29" t="n">
        <f aca="false">IF(1&lt;=Assumptions!$B$52, Assumptions!$B$39, Assumptions!$B$42)</f>
        <v>3</v>
      </c>
      <c r="F37" s="26" t="n">
        <f aca="false">ROUND(Assumptions!$B$5*Assumptions!$B$24,0)</f>
        <v>1</v>
      </c>
      <c r="G37" s="30" t="n">
        <f aca="false">Assumptions!$B$5+D37+E37-F37</f>
        <v>25</v>
      </c>
      <c r="H37" s="31" t="n">
        <f aca="false">IF(G37=0,0,(Assumptions!$B$5*Assumptions!$B$6+(G37-Assumptions!$B$5)*Assumptions!$B$15)/G37*G37)</f>
        <v>123.08</v>
      </c>
      <c r="I37" s="32" t="n">
        <f aca="false">H37*12</f>
        <v>1476.96</v>
      </c>
    </row>
    <row r="38" customFormat="false" ht="15" hidden="false" customHeight="true" outlineLevel="0" collapsed="false">
      <c r="A38" s="26" t="n">
        <v>2</v>
      </c>
      <c r="B38" s="27" t="n">
        <f aca="false">EDATE(Assumptions!$B$4,2)</f>
        <v>46226</v>
      </c>
      <c r="C38" s="28" t="n">
        <f aca="false">IF(2&lt;=Assumptions!$B$52, Assumptions!$B$28, MIN(Assumptions!$B$28+(2-Assumptions!$B$52)/3*(Assumptions!$B$31-Assumptions!$B$28), Assumptions!$B$31))</f>
        <v>250</v>
      </c>
      <c r="D38" s="26" t="n">
        <f aca="false">C38/100*Assumptions!$B$36</f>
        <v>10</v>
      </c>
      <c r="E38" s="29" t="n">
        <f aca="false">IF(2&lt;=Assumptions!$B$52, Assumptions!$B$39, Assumptions!$B$42)</f>
        <v>3</v>
      </c>
      <c r="F38" s="26" t="n">
        <f aca="false">ROUND(G37*Assumptions!$B$24,0)</f>
        <v>2</v>
      </c>
      <c r="G38" s="30" t="n">
        <f aca="false">G37+D38+E38-F38</f>
        <v>36</v>
      </c>
      <c r="H38" s="31" t="n">
        <f aca="false">IF(G38=0,0,(Assumptions!$B$5*Assumptions!$B$6+(G38-Assumptions!$B$5)*Assumptions!$B$15)/G38*G38)</f>
        <v>176.32</v>
      </c>
      <c r="I38" s="32" t="n">
        <f aca="false">H38*12</f>
        <v>2115.84</v>
      </c>
    </row>
    <row r="39" customFormat="false" ht="15" hidden="false" customHeight="true" outlineLevel="0" collapsed="false">
      <c r="A39" s="26" t="n">
        <v>3</v>
      </c>
      <c r="B39" s="27" t="n">
        <f aca="false">EDATE(Assumptions!$B$4,3)</f>
        <v>46257</v>
      </c>
      <c r="C39" s="28" t="n">
        <f aca="false">IF(3&lt;=Assumptions!$B$52, Assumptions!$B$28, MIN(Assumptions!$B$28+(3-Assumptions!$B$52)/3*(Assumptions!$B$31-Assumptions!$B$28), Assumptions!$B$31))</f>
        <v>1000</v>
      </c>
      <c r="D39" s="26" t="n">
        <f aca="false">C39/100*Assumptions!$B$36</f>
        <v>40</v>
      </c>
      <c r="E39" s="29" t="n">
        <f aca="false">IF(3&lt;=Assumptions!$B$52, Assumptions!$B$39, Assumptions!$B$42)</f>
        <v>25</v>
      </c>
      <c r="F39" s="26" t="n">
        <f aca="false">ROUND(G38*Assumptions!$B$24,0)</f>
        <v>3</v>
      </c>
      <c r="G39" s="30" t="n">
        <f aca="false">G38+D39+E39-F39</f>
        <v>98</v>
      </c>
      <c r="H39" s="31" t="n">
        <f aca="false">IF(G39=0,0,(Assumptions!$B$5*Assumptions!$B$6+(G39-Assumptions!$B$5)*Assumptions!$B$15)/G39*G39)</f>
        <v>476.4</v>
      </c>
      <c r="I39" s="32" t="n">
        <f aca="false">H39*12</f>
        <v>5716.8</v>
      </c>
    </row>
    <row r="40" customFormat="false" ht="15" hidden="false" customHeight="true" outlineLevel="0" collapsed="false">
      <c r="A40" s="26" t="n">
        <v>4</v>
      </c>
      <c r="B40" s="27" t="n">
        <f aca="false">EDATE(Assumptions!$B$4,4)</f>
        <v>46288</v>
      </c>
      <c r="C40" s="28" t="n">
        <f aca="false">IF(4&lt;=Assumptions!$B$52, Assumptions!$B$28, MIN(Assumptions!$B$28+(4-Assumptions!$B$52)/3*(Assumptions!$B$31-Assumptions!$B$28), Assumptions!$B$31))</f>
        <v>1750</v>
      </c>
      <c r="D40" s="26" t="n">
        <f aca="false">C40/100*Assumptions!$B$36</f>
        <v>70</v>
      </c>
      <c r="E40" s="29" t="n">
        <f aca="false">IF(4&lt;=Assumptions!$B$52, Assumptions!$B$39, Assumptions!$B$42)</f>
        <v>25</v>
      </c>
      <c r="F40" s="26" t="n">
        <f aca="false">ROUND(G39*Assumptions!$B$24,0)</f>
        <v>8</v>
      </c>
      <c r="G40" s="30" t="n">
        <f aca="false">G39+D40+E40-F40</f>
        <v>185</v>
      </c>
      <c r="H40" s="31" t="n">
        <f aca="false">IF(G40=0,0,(Assumptions!$B$5*Assumptions!$B$6+(G40-Assumptions!$B$5)*Assumptions!$B$15)/G40*G40)</f>
        <v>897.48</v>
      </c>
      <c r="I40" s="32" t="n">
        <f aca="false">H40*12</f>
        <v>10769.76</v>
      </c>
    </row>
    <row r="41" customFormat="false" ht="15" hidden="false" customHeight="true" outlineLevel="0" collapsed="false">
      <c r="A41" s="26" t="n">
        <v>5</v>
      </c>
      <c r="B41" s="27" t="n">
        <f aca="false">EDATE(Assumptions!$B$4,5)</f>
        <v>46318</v>
      </c>
      <c r="C41" s="28" t="n">
        <f aca="false">IF(5&lt;=Assumptions!$B$52, Assumptions!$B$28, MIN(Assumptions!$B$28+(5-Assumptions!$B$52)/3*(Assumptions!$B$31-Assumptions!$B$28), Assumptions!$B$31))</f>
        <v>2500</v>
      </c>
      <c r="D41" s="26" t="n">
        <f aca="false">C41/100*Assumptions!$B$36</f>
        <v>100</v>
      </c>
      <c r="E41" s="29" t="n">
        <f aca="false">IF(5&lt;=Assumptions!$B$52, Assumptions!$B$39, Assumptions!$B$42)</f>
        <v>25</v>
      </c>
      <c r="F41" s="26" t="n">
        <f aca="false">ROUND(G40*Assumptions!$B$24,0)</f>
        <v>15</v>
      </c>
      <c r="G41" s="30" t="n">
        <f aca="false">G40+D41+E41-F41</f>
        <v>295</v>
      </c>
      <c r="H41" s="31" t="n">
        <f aca="false">IF(G41=0,0,(Assumptions!$B$5*Assumptions!$B$6+(G41-Assumptions!$B$5)*Assumptions!$B$15)/G41*G41)</f>
        <v>1429.88</v>
      </c>
      <c r="I41" s="32" t="n">
        <f aca="false">H41*12</f>
        <v>17158.56</v>
      </c>
    </row>
    <row r="42" customFormat="false" ht="15" hidden="false" customHeight="true" outlineLevel="0" collapsed="false">
      <c r="A42" s="26" t="n">
        <v>6</v>
      </c>
      <c r="B42" s="27" t="n">
        <f aca="false">EDATE(Assumptions!$B$4,6)</f>
        <v>46349</v>
      </c>
      <c r="C42" s="28" t="n">
        <f aca="false">IF(6&lt;=Assumptions!$B$52, Assumptions!$B$28, MIN(Assumptions!$B$28+(6-Assumptions!$B$52)/3*(Assumptions!$B$31-Assumptions!$B$28), Assumptions!$B$31))</f>
        <v>2500</v>
      </c>
      <c r="D42" s="26" t="n">
        <f aca="false">C42/100*Assumptions!$B$36</f>
        <v>100</v>
      </c>
      <c r="E42" s="29" t="n">
        <f aca="false">IF(6&lt;=Assumptions!$B$52, Assumptions!$B$39, Assumptions!$B$42)</f>
        <v>25</v>
      </c>
      <c r="F42" s="26" t="n">
        <f aca="false">ROUND(G41*Assumptions!$B$24,0)</f>
        <v>24</v>
      </c>
      <c r="G42" s="30" t="n">
        <f aca="false">G41+D42+E42-F42</f>
        <v>396</v>
      </c>
      <c r="H42" s="31" t="n">
        <f aca="false">IF(G42=0,0,(Assumptions!$B$5*Assumptions!$B$6+(G42-Assumptions!$B$5)*Assumptions!$B$15)/G42*G42)</f>
        <v>1918.72</v>
      </c>
      <c r="I42" s="32" t="n">
        <f aca="false">H42*12</f>
        <v>23024.64</v>
      </c>
    </row>
    <row r="43" customFormat="false" ht="15" hidden="false" customHeight="true" outlineLevel="0" collapsed="false">
      <c r="A43" s="26" t="n">
        <v>7</v>
      </c>
      <c r="B43" s="27" t="n">
        <f aca="false">EDATE(Assumptions!$B$4,7)</f>
        <v>46379</v>
      </c>
      <c r="C43" s="28" t="n">
        <f aca="false">IF(7&lt;=Assumptions!$B$52, Assumptions!$B$28, MIN(Assumptions!$B$28+(7-Assumptions!$B$52)/3*(Assumptions!$B$31-Assumptions!$B$28), Assumptions!$B$31))</f>
        <v>2500</v>
      </c>
      <c r="D43" s="26" t="n">
        <f aca="false">C43/100*Assumptions!$B$36</f>
        <v>100</v>
      </c>
      <c r="E43" s="29" t="n">
        <f aca="false">IF(7&lt;=Assumptions!$B$52, Assumptions!$B$39, Assumptions!$B$42)</f>
        <v>25</v>
      </c>
      <c r="F43" s="26" t="n">
        <f aca="false">ROUND(G42*Assumptions!$B$24,0)</f>
        <v>32</v>
      </c>
      <c r="G43" s="30" t="n">
        <f aca="false">G42+D43+E43-F43</f>
        <v>489</v>
      </c>
      <c r="H43" s="31" t="n">
        <f aca="false">IF(G43=0,0,(Assumptions!$B$5*Assumptions!$B$6+(G43-Assumptions!$B$5)*Assumptions!$B$15)/G43*G43)</f>
        <v>2368.84</v>
      </c>
      <c r="I43" s="32" t="n">
        <f aca="false">H43*12</f>
        <v>28426.08</v>
      </c>
    </row>
    <row r="44" customFormat="false" ht="15" hidden="false" customHeight="true" outlineLevel="0" collapsed="false">
      <c r="A44" s="26" t="n">
        <v>8</v>
      </c>
      <c r="B44" s="27" t="n">
        <f aca="false">EDATE(Assumptions!$B$4,8)</f>
        <v>46410</v>
      </c>
      <c r="C44" s="28" t="n">
        <f aca="false">IF(8&lt;=Assumptions!$B$52, Assumptions!$B$28, MIN(Assumptions!$B$28+(8-Assumptions!$B$52)/3*(Assumptions!$B$31-Assumptions!$B$28), Assumptions!$B$31))</f>
        <v>2500</v>
      </c>
      <c r="D44" s="26" t="n">
        <f aca="false">C44/100*Assumptions!$B$36</f>
        <v>100</v>
      </c>
      <c r="E44" s="29" t="n">
        <f aca="false">IF(8&lt;=Assumptions!$B$52, Assumptions!$B$39, Assumptions!$B$42)</f>
        <v>25</v>
      </c>
      <c r="F44" s="26" t="n">
        <f aca="false">ROUND(G43*Assumptions!$B$24,0)</f>
        <v>39</v>
      </c>
      <c r="G44" s="30" t="n">
        <f aca="false">G43+D44+E44-F44</f>
        <v>575</v>
      </c>
      <c r="H44" s="31" t="n">
        <f aca="false">IF(G44=0,0,(Assumptions!$B$5*Assumptions!$B$6+(G44-Assumptions!$B$5)*Assumptions!$B$15)/G44*G44)</f>
        <v>2785.08</v>
      </c>
      <c r="I44" s="32" t="n">
        <f aca="false">H44*12</f>
        <v>33420.96</v>
      </c>
    </row>
    <row r="45" customFormat="false" ht="15" hidden="false" customHeight="true" outlineLevel="0" collapsed="false">
      <c r="A45" s="26" t="n">
        <v>9</v>
      </c>
      <c r="B45" s="27" t="n">
        <f aca="false">EDATE(Assumptions!$B$4,9)</f>
        <v>46441</v>
      </c>
      <c r="C45" s="28" t="n">
        <f aca="false">IF(9&lt;=Assumptions!$B$52, Assumptions!$B$28, MIN(Assumptions!$B$28+(9-Assumptions!$B$52)/3*(Assumptions!$B$31-Assumptions!$B$28), Assumptions!$B$31))</f>
        <v>2500</v>
      </c>
      <c r="D45" s="26" t="n">
        <f aca="false">C45/100*Assumptions!$B$36</f>
        <v>100</v>
      </c>
      <c r="E45" s="29" t="n">
        <f aca="false">IF(9&lt;=Assumptions!$B$52, Assumptions!$B$39, Assumptions!$B$42)</f>
        <v>25</v>
      </c>
      <c r="F45" s="26" t="n">
        <f aca="false">ROUND(G44*Assumptions!$B$24,0)</f>
        <v>46</v>
      </c>
      <c r="G45" s="30" t="n">
        <f aca="false">G44+D45+E45-F45</f>
        <v>654</v>
      </c>
      <c r="H45" s="31" t="n">
        <f aca="false">IF(G45=0,0,(Assumptions!$B$5*Assumptions!$B$6+(G45-Assumptions!$B$5)*Assumptions!$B$15)/G45*G45)</f>
        <v>3167.44</v>
      </c>
      <c r="I45" s="32" t="n">
        <f aca="false">H45*12</f>
        <v>38009.28</v>
      </c>
    </row>
    <row r="46" customFormat="false" ht="15" hidden="false" customHeight="true" outlineLevel="0" collapsed="false">
      <c r="A46" s="26" t="n">
        <v>10</v>
      </c>
      <c r="B46" s="27" t="n">
        <f aca="false">EDATE(Assumptions!$B$4,10)</f>
        <v>46469</v>
      </c>
      <c r="C46" s="28" t="n">
        <f aca="false">IF(10&lt;=Assumptions!$B$52, Assumptions!$B$28, MIN(Assumptions!$B$28+(10-Assumptions!$B$52)/3*(Assumptions!$B$31-Assumptions!$B$28), Assumptions!$B$31))</f>
        <v>2500</v>
      </c>
      <c r="D46" s="26" t="n">
        <f aca="false">C46/100*Assumptions!$B$36</f>
        <v>100</v>
      </c>
      <c r="E46" s="29" t="n">
        <f aca="false">IF(10&lt;=Assumptions!$B$52, Assumptions!$B$39, Assumptions!$B$42)</f>
        <v>25</v>
      </c>
      <c r="F46" s="26" t="n">
        <f aca="false">ROUND(G45*Assumptions!$B$24,0)</f>
        <v>52</v>
      </c>
      <c r="G46" s="30" t="n">
        <f aca="false">G45+D46+E46-F46</f>
        <v>727</v>
      </c>
      <c r="H46" s="31" t="n">
        <f aca="false">IF(G46=0,0,(Assumptions!$B$5*Assumptions!$B$6+(G46-Assumptions!$B$5)*Assumptions!$B$15)/G46*G46)</f>
        <v>3520.76</v>
      </c>
      <c r="I46" s="32" t="n">
        <f aca="false">H46*12</f>
        <v>42249.12</v>
      </c>
    </row>
    <row r="47" customFormat="false" ht="15" hidden="false" customHeight="true" outlineLevel="0" collapsed="false">
      <c r="A47" s="26" t="n">
        <v>11</v>
      </c>
      <c r="B47" s="27" t="n">
        <f aca="false">EDATE(Assumptions!$B$4,11)</f>
        <v>46500</v>
      </c>
      <c r="C47" s="28" t="n">
        <f aca="false">IF(11&lt;=Assumptions!$B$52, Assumptions!$B$28, MIN(Assumptions!$B$28+(11-Assumptions!$B$52)/3*(Assumptions!$B$31-Assumptions!$B$28), Assumptions!$B$31))</f>
        <v>2500</v>
      </c>
      <c r="D47" s="26" t="n">
        <f aca="false">C47/100*Assumptions!$B$36</f>
        <v>100</v>
      </c>
      <c r="E47" s="29" t="n">
        <f aca="false">IF(11&lt;=Assumptions!$B$52, Assumptions!$B$39, Assumptions!$B$42)</f>
        <v>25</v>
      </c>
      <c r="F47" s="26" t="n">
        <f aca="false">ROUND(G46*Assumptions!$B$24,0)</f>
        <v>58</v>
      </c>
      <c r="G47" s="30" t="n">
        <f aca="false">G46+D47+E47-F47</f>
        <v>794</v>
      </c>
      <c r="H47" s="31" t="n">
        <f aca="false">IF(G47=0,0,(Assumptions!$B$5*Assumptions!$B$6+(G47-Assumptions!$B$5)*Assumptions!$B$15)/G47*G47)</f>
        <v>3845.04</v>
      </c>
      <c r="I47" s="32" t="n">
        <f aca="false">H47*12</f>
        <v>46140.48</v>
      </c>
    </row>
    <row r="48" customFormat="false" ht="15" hidden="false" customHeight="true" outlineLevel="0" collapsed="false">
      <c r="A48" s="26" t="n">
        <v>12</v>
      </c>
      <c r="B48" s="27" t="n">
        <f aca="false">EDATE(Assumptions!$B$4,12)</f>
        <v>46530</v>
      </c>
      <c r="C48" s="28" t="n">
        <f aca="false">IF(12&lt;=Assumptions!$B$52, Assumptions!$B$28, MIN(Assumptions!$B$28+(12-Assumptions!$B$52)/3*(Assumptions!$B$31-Assumptions!$B$28), Assumptions!$B$31))</f>
        <v>2500</v>
      </c>
      <c r="D48" s="26" t="n">
        <f aca="false">C48/100*Assumptions!$B$36</f>
        <v>100</v>
      </c>
      <c r="E48" s="29" t="n">
        <f aca="false">IF(12&lt;=Assumptions!$B$52, Assumptions!$B$39, Assumptions!$B$42)</f>
        <v>25</v>
      </c>
      <c r="F48" s="26" t="n">
        <f aca="false">ROUND(G47*Assumptions!$B$24,0)</f>
        <v>64</v>
      </c>
      <c r="G48" s="30" t="n">
        <f aca="false">G47+D48+E48-F48</f>
        <v>855</v>
      </c>
      <c r="H48" s="31" t="n">
        <f aca="false">IF(G48=0,0,(Assumptions!$B$5*Assumptions!$B$6+(G48-Assumptions!$B$5)*Assumptions!$B$15)/G48*G48)</f>
        <v>4140.28</v>
      </c>
      <c r="I48" s="32" t="n">
        <f aca="false">H48*12</f>
        <v>49683.36</v>
      </c>
    </row>
    <row r="51" customFormat="false" ht="15" hidden="false" customHeight="true" outlineLevel="0" collapsed="false">
      <c r="A51" s="10" t="s">
        <v>103</v>
      </c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true" outlineLevel="0" collapsed="false">
      <c r="A52" s="25" t="s">
        <v>104</v>
      </c>
      <c r="B52" s="25" t="s">
        <v>93</v>
      </c>
      <c r="C52" s="25"/>
      <c r="D52" s="25" t="s">
        <v>105</v>
      </c>
      <c r="E52" s="25" t="s">
        <v>106</v>
      </c>
      <c r="F52" s="25" t="s">
        <v>107</v>
      </c>
      <c r="G52" s="25" t="s">
        <v>108</v>
      </c>
      <c r="H52" s="25" t="s">
        <v>109</v>
      </c>
      <c r="I52" s="25" t="s">
        <v>110</v>
      </c>
    </row>
    <row r="53" customFormat="false" ht="15" hidden="false" customHeight="true" outlineLevel="0" collapsed="false">
      <c r="A53" s="4" t="s">
        <v>111</v>
      </c>
      <c r="B53" s="27" t="n">
        <f aca="false">EDATE(Assumptions!$B$4,3)</f>
        <v>46257</v>
      </c>
      <c r="D53" s="26" t="n">
        <f aca="false">G7</f>
        <v>34</v>
      </c>
      <c r="E53" s="31" t="n">
        <f aca="false">H7</f>
        <v>166.64</v>
      </c>
      <c r="F53" s="26" t="n">
        <f aca="false">G23</f>
        <v>51.5</v>
      </c>
      <c r="G53" s="31" t="n">
        <f aca="false">H23</f>
        <v>251.34</v>
      </c>
      <c r="H53" s="26" t="n">
        <f aca="false">G39</f>
        <v>98</v>
      </c>
      <c r="I53" s="31" t="n">
        <f aca="false">H39</f>
        <v>476.4</v>
      </c>
    </row>
    <row r="54" customFormat="false" ht="15" hidden="false" customHeight="true" outlineLevel="0" collapsed="false">
      <c r="A54" s="4" t="s">
        <v>112</v>
      </c>
      <c r="B54" s="27" t="n">
        <f aca="false">EDATE(Assumptions!$B$4,6)</f>
        <v>46349</v>
      </c>
      <c r="D54" s="26" t="n">
        <f aca="false">G10</f>
        <v>54</v>
      </c>
      <c r="E54" s="31" t="n">
        <f aca="false">H10</f>
        <v>263.44</v>
      </c>
      <c r="F54" s="26" t="n">
        <f aca="false">G26</f>
        <v>126</v>
      </c>
      <c r="G54" s="31" t="n">
        <f aca="false">H26</f>
        <v>611.92</v>
      </c>
      <c r="H54" s="26" t="n">
        <f aca="false">G42</f>
        <v>396</v>
      </c>
      <c r="I54" s="31" t="n">
        <f aca="false">H42</f>
        <v>1918.72</v>
      </c>
    </row>
    <row r="55" customFormat="false" ht="15" hidden="false" customHeight="true" outlineLevel="0" collapsed="false">
      <c r="A55" s="4" t="s">
        <v>113</v>
      </c>
      <c r="B55" s="27" t="n">
        <f aca="false">EDATE(Assumptions!$B$4,12)</f>
        <v>46530</v>
      </c>
      <c r="D55" s="26" t="n">
        <f aca="false">G16</f>
        <v>82</v>
      </c>
      <c r="E55" s="31" t="n">
        <f aca="false">H16</f>
        <v>398.96</v>
      </c>
      <c r="F55" s="26" t="n">
        <f aca="false">G32</f>
        <v>236</v>
      </c>
      <c r="G55" s="31" t="n">
        <f aca="false">H32</f>
        <v>1144.32</v>
      </c>
      <c r="H55" s="26" t="n">
        <f aca="false">G48</f>
        <v>855</v>
      </c>
      <c r="I55" s="31" t="n">
        <f aca="false">H48</f>
        <v>4140.28</v>
      </c>
    </row>
  </sheetData>
  <mergeCells count="5">
    <mergeCell ref="A1:I1"/>
    <mergeCell ref="A3:I3"/>
    <mergeCell ref="A19:I19"/>
    <mergeCell ref="A35:I35"/>
    <mergeCell ref="A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6"/>
  </cols>
  <sheetData>
    <row r="1" customFormat="false" ht="17.25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0" t="s">
        <v>115</v>
      </c>
      <c r="B3" s="10"/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25" t="s">
        <v>116</v>
      </c>
      <c r="B4" s="25" t="s">
        <v>117</v>
      </c>
      <c r="C4" s="25" t="s">
        <v>118</v>
      </c>
      <c r="D4" s="25" t="s">
        <v>119</v>
      </c>
      <c r="E4" s="25" t="s">
        <v>120</v>
      </c>
      <c r="F4" s="25" t="s">
        <v>121</v>
      </c>
      <c r="G4" s="25"/>
      <c r="H4" s="25"/>
    </row>
    <row r="5" customFormat="false" ht="15" hidden="false" customHeight="true" outlineLevel="0" collapsed="false">
      <c r="A5" s="7" t="s">
        <v>122</v>
      </c>
      <c r="B5" s="7" t="s">
        <v>123</v>
      </c>
      <c r="C5" s="7" t="s">
        <v>124</v>
      </c>
      <c r="D5" s="31" t="n">
        <v>0</v>
      </c>
      <c r="E5" s="31" t="n">
        <v>0</v>
      </c>
      <c r="F5" s="13" t="s">
        <v>125</v>
      </c>
    </row>
    <row r="6" customFormat="false" ht="15" hidden="false" customHeight="true" outlineLevel="0" collapsed="false">
      <c r="A6" s="7" t="s">
        <v>126</v>
      </c>
      <c r="B6" s="7" t="s">
        <v>127</v>
      </c>
      <c r="C6" s="7" t="s">
        <v>128</v>
      </c>
      <c r="D6" s="31" t="n">
        <v>1.99</v>
      </c>
      <c r="E6" s="31" t="n">
        <v>0</v>
      </c>
      <c r="F6" s="13" t="s">
        <v>125</v>
      </c>
    </row>
    <row r="7" customFormat="false" ht="15" hidden="false" customHeight="true" outlineLevel="0" collapsed="false">
      <c r="A7" s="7" t="s">
        <v>129</v>
      </c>
      <c r="B7" s="7" t="s">
        <v>130</v>
      </c>
      <c r="C7" s="7" t="s">
        <v>131</v>
      </c>
      <c r="D7" s="31" t="n">
        <v>4.99</v>
      </c>
      <c r="E7" s="31" t="n">
        <v>9.99</v>
      </c>
      <c r="F7" s="33" t="n">
        <f aca="false">1-D7/E7</f>
        <v>0.500500500500501</v>
      </c>
    </row>
    <row r="8" customFormat="false" ht="15" hidden="false" customHeight="true" outlineLevel="0" collapsed="false">
      <c r="A8" s="7" t="s">
        <v>132</v>
      </c>
      <c r="B8" s="7" t="s">
        <v>130</v>
      </c>
      <c r="C8" s="7" t="s">
        <v>133</v>
      </c>
      <c r="D8" s="31" t="n">
        <v>4.99</v>
      </c>
      <c r="E8" s="31" t="n">
        <v>14.99</v>
      </c>
      <c r="F8" s="33" t="n">
        <f aca="false">1-D8/E8</f>
        <v>0.66711140760507</v>
      </c>
    </row>
    <row r="9" customFormat="false" ht="15" hidden="false" customHeight="true" outlineLevel="0" collapsed="false">
      <c r="A9" s="7" t="s">
        <v>134</v>
      </c>
      <c r="B9" s="7" t="s">
        <v>135</v>
      </c>
      <c r="C9" s="7" t="s">
        <v>136</v>
      </c>
      <c r="D9" s="31" t="n">
        <v>9.99</v>
      </c>
      <c r="E9" s="31" t="n">
        <v>19.99</v>
      </c>
      <c r="F9" s="33" t="n">
        <f aca="false">1-D9/E9</f>
        <v>0.500250125062531</v>
      </c>
    </row>
    <row r="11" customFormat="false" ht="15" hidden="false" customHeight="true" outlineLevel="0" collapsed="false">
      <c r="A11" s="3" t="s">
        <v>137</v>
      </c>
      <c r="B11" s="3"/>
      <c r="C11" s="3"/>
      <c r="D11" s="3"/>
      <c r="E11" s="3"/>
      <c r="F11" s="3"/>
      <c r="G11" s="3"/>
      <c r="H11" s="3"/>
    </row>
    <row r="13" customFormat="false" ht="15" hidden="false" customHeight="true" outlineLevel="0" collapsed="false">
      <c r="A13" s="10" t="s">
        <v>138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25" t="s">
        <v>139</v>
      </c>
      <c r="B14" s="25" t="s">
        <v>140</v>
      </c>
      <c r="C14" s="25" t="s">
        <v>141</v>
      </c>
      <c r="D14" s="25" t="s">
        <v>142</v>
      </c>
      <c r="E14" s="25" t="s">
        <v>143</v>
      </c>
      <c r="F14" s="25" t="s">
        <v>144</v>
      </c>
    </row>
    <row r="15" customFormat="false" ht="31.5" hidden="false" customHeight="true" outlineLevel="0" collapsed="false">
      <c r="A15" s="34" t="s">
        <v>145</v>
      </c>
      <c r="B15" s="34" t="s">
        <v>146</v>
      </c>
      <c r="C15" s="34" t="s">
        <v>147</v>
      </c>
      <c r="D15" s="34" t="s">
        <v>148</v>
      </c>
      <c r="E15" s="34" t="s">
        <v>149</v>
      </c>
      <c r="F15" s="34" t="s">
        <v>150</v>
      </c>
    </row>
    <row r="16" customFormat="false" ht="31.5" hidden="false" customHeight="true" outlineLevel="0" collapsed="false">
      <c r="A16" s="35" t="s">
        <v>151</v>
      </c>
      <c r="B16" s="35" t="s">
        <v>146</v>
      </c>
      <c r="C16" s="35" t="s">
        <v>147</v>
      </c>
      <c r="D16" s="35" t="s">
        <v>152</v>
      </c>
      <c r="E16" s="35" t="s">
        <v>153</v>
      </c>
      <c r="F16" s="35" t="s">
        <v>154</v>
      </c>
    </row>
    <row r="17" customFormat="false" ht="31.5" hidden="false" customHeight="true" outlineLevel="0" collapsed="false">
      <c r="A17" s="34" t="s">
        <v>155</v>
      </c>
      <c r="B17" s="34" t="s">
        <v>146</v>
      </c>
      <c r="C17" s="34" t="s">
        <v>156</v>
      </c>
      <c r="D17" s="34" t="s">
        <v>157</v>
      </c>
      <c r="E17" s="34" t="s">
        <v>158</v>
      </c>
      <c r="F17" s="34" t="s">
        <v>159</v>
      </c>
    </row>
    <row r="18" customFormat="false" ht="31.5" hidden="false" customHeight="true" outlineLevel="0" collapsed="false">
      <c r="A18" s="35" t="s">
        <v>160</v>
      </c>
      <c r="B18" s="35" t="s">
        <v>161</v>
      </c>
      <c r="C18" s="35" t="s">
        <v>162</v>
      </c>
      <c r="D18" s="35" t="s">
        <v>157</v>
      </c>
      <c r="E18" s="35" t="s">
        <v>158</v>
      </c>
      <c r="F18" s="35" t="s">
        <v>163</v>
      </c>
    </row>
    <row r="19" customFormat="false" ht="31.5" hidden="false" customHeight="true" outlineLevel="0" collapsed="false">
      <c r="A19" s="34" t="s">
        <v>164</v>
      </c>
      <c r="B19" s="34" t="s">
        <v>165</v>
      </c>
      <c r="C19" s="34" t="s">
        <v>166</v>
      </c>
      <c r="D19" s="34" t="s">
        <v>157</v>
      </c>
      <c r="E19" s="34" t="s">
        <v>158</v>
      </c>
      <c r="F19" s="34" t="s">
        <v>167</v>
      </c>
    </row>
    <row r="20" customFormat="false" ht="31.5" hidden="false" customHeight="true" outlineLevel="0" collapsed="false">
      <c r="A20" s="35" t="s">
        <v>168</v>
      </c>
      <c r="B20" s="35" t="s">
        <v>146</v>
      </c>
      <c r="C20" s="35" t="s">
        <v>169</v>
      </c>
      <c r="D20" s="35" t="s">
        <v>157</v>
      </c>
      <c r="E20" s="35" t="s">
        <v>158</v>
      </c>
      <c r="F20" s="35" t="s">
        <v>159</v>
      </c>
    </row>
    <row r="21" customFormat="false" ht="31.5" hidden="false" customHeight="true" outlineLevel="0" collapsed="false">
      <c r="A21" s="34" t="s">
        <v>170</v>
      </c>
      <c r="B21" s="34" t="s">
        <v>171</v>
      </c>
      <c r="C21" s="34" t="s">
        <v>172</v>
      </c>
      <c r="D21" s="34" t="s">
        <v>157</v>
      </c>
      <c r="E21" s="34" t="s">
        <v>158</v>
      </c>
      <c r="F21" s="34" t="s">
        <v>159</v>
      </c>
    </row>
    <row r="22" customFormat="false" ht="31.5" hidden="false" customHeight="true" outlineLevel="0" collapsed="false">
      <c r="A22" s="35" t="s">
        <v>173</v>
      </c>
      <c r="B22" s="35" t="s">
        <v>146</v>
      </c>
      <c r="C22" s="35" t="s">
        <v>174</v>
      </c>
      <c r="D22" s="35" t="s">
        <v>157</v>
      </c>
      <c r="E22" s="35" t="s">
        <v>158</v>
      </c>
      <c r="F22" s="35" t="s">
        <v>159</v>
      </c>
    </row>
    <row r="23" customFormat="false" ht="31.5" hidden="false" customHeight="true" outlineLevel="0" collapsed="false">
      <c r="A23" s="34" t="s">
        <v>175</v>
      </c>
      <c r="B23" s="34" t="s">
        <v>176</v>
      </c>
      <c r="C23" s="34" t="s">
        <v>177</v>
      </c>
      <c r="D23" s="34" t="s">
        <v>178</v>
      </c>
      <c r="E23" s="34" t="s">
        <v>158</v>
      </c>
      <c r="F23" s="34" t="s">
        <v>179</v>
      </c>
    </row>
    <row r="24" customFormat="false" ht="31.5" hidden="false" customHeight="true" outlineLevel="0" collapsed="false">
      <c r="A24" s="35" t="s">
        <v>180</v>
      </c>
      <c r="B24" s="35" t="s">
        <v>181</v>
      </c>
      <c r="C24" s="35" t="s">
        <v>182</v>
      </c>
      <c r="D24" s="35" t="s">
        <v>157</v>
      </c>
      <c r="E24" s="35" t="s">
        <v>183</v>
      </c>
      <c r="F24" s="35" t="s">
        <v>184</v>
      </c>
    </row>
    <row r="25" customFormat="false" ht="31.5" hidden="false" customHeight="true" outlineLevel="0" collapsed="false">
      <c r="A25" s="34" t="s">
        <v>185</v>
      </c>
      <c r="B25" s="34" t="s">
        <v>186</v>
      </c>
      <c r="C25" s="34" t="s">
        <v>187</v>
      </c>
      <c r="D25" s="34" t="s">
        <v>188</v>
      </c>
      <c r="E25" s="34" t="s">
        <v>189</v>
      </c>
      <c r="F25" s="34" t="s">
        <v>190</v>
      </c>
    </row>
    <row r="26" customFormat="false" ht="31.5" hidden="false" customHeight="true" outlineLevel="0" collapsed="false">
      <c r="A26" s="35" t="s">
        <v>191</v>
      </c>
      <c r="B26" s="35" t="s">
        <v>192</v>
      </c>
      <c r="C26" s="35" t="s">
        <v>193</v>
      </c>
      <c r="D26" s="35" t="s">
        <v>157</v>
      </c>
      <c r="E26" s="35" t="s">
        <v>189</v>
      </c>
      <c r="F26" s="35" t="s">
        <v>194</v>
      </c>
    </row>
    <row r="27" customFormat="false" ht="31.5" hidden="false" customHeight="true" outlineLevel="0" collapsed="false">
      <c r="A27" s="34" t="s">
        <v>195</v>
      </c>
      <c r="B27" s="34" t="s">
        <v>196</v>
      </c>
      <c r="C27" s="34" t="s">
        <v>197</v>
      </c>
      <c r="D27" s="34" t="s">
        <v>157</v>
      </c>
      <c r="E27" s="34" t="s">
        <v>198</v>
      </c>
      <c r="F27" s="34" t="s">
        <v>194</v>
      </c>
    </row>
    <row r="28" customFormat="false" ht="31.5" hidden="false" customHeight="true" outlineLevel="0" collapsed="false">
      <c r="A28" s="35" t="s">
        <v>199</v>
      </c>
      <c r="B28" s="35" t="s">
        <v>200</v>
      </c>
      <c r="C28" s="35" t="s">
        <v>201</v>
      </c>
      <c r="D28" s="35" t="s">
        <v>148</v>
      </c>
      <c r="E28" s="35" t="s">
        <v>149</v>
      </c>
      <c r="F28" s="35" t="s">
        <v>202</v>
      </c>
    </row>
    <row r="29" customFormat="false" ht="31.5" hidden="false" customHeight="true" outlineLevel="0" collapsed="false">
      <c r="A29" s="34" t="s">
        <v>203</v>
      </c>
      <c r="B29" s="34" t="s">
        <v>204</v>
      </c>
      <c r="C29" s="34" t="s">
        <v>205</v>
      </c>
      <c r="D29" s="34" t="s">
        <v>206</v>
      </c>
      <c r="E29" s="34" t="s">
        <v>207</v>
      </c>
      <c r="F29" s="34" t="s">
        <v>208</v>
      </c>
    </row>
    <row r="30" customFormat="false" ht="31.5" hidden="false" customHeight="true" outlineLevel="0" collapsed="false">
      <c r="A30" s="35" t="s">
        <v>209</v>
      </c>
      <c r="B30" s="35" t="s">
        <v>210</v>
      </c>
      <c r="C30" s="35" t="s">
        <v>211</v>
      </c>
      <c r="D30" s="35" t="s">
        <v>157</v>
      </c>
      <c r="E30" s="35" t="s">
        <v>158</v>
      </c>
      <c r="F30" s="35" t="s">
        <v>212</v>
      </c>
    </row>
    <row r="31" customFormat="false" ht="31.5" hidden="false" customHeight="true" outlineLevel="0" collapsed="false">
      <c r="A31" s="34" t="s">
        <v>213</v>
      </c>
      <c r="B31" s="34" t="s">
        <v>214</v>
      </c>
      <c r="C31" s="34" t="s">
        <v>215</v>
      </c>
      <c r="D31" s="34" t="s">
        <v>216</v>
      </c>
      <c r="E31" s="34" t="s">
        <v>217</v>
      </c>
      <c r="F31" s="34" t="s">
        <v>218</v>
      </c>
    </row>
    <row r="32" customFormat="false" ht="31.5" hidden="false" customHeight="true" outlineLevel="0" collapsed="false">
      <c r="A32" s="35" t="s">
        <v>219</v>
      </c>
      <c r="B32" s="35" t="s">
        <v>214</v>
      </c>
      <c r="C32" s="35" t="s">
        <v>220</v>
      </c>
      <c r="D32" s="35" t="s">
        <v>148</v>
      </c>
      <c r="E32" s="35" t="s">
        <v>149</v>
      </c>
      <c r="F32" s="35" t="s">
        <v>221</v>
      </c>
    </row>
    <row r="33" customFormat="false" ht="31.5" hidden="false" customHeight="true" outlineLevel="0" collapsed="false">
      <c r="A33" s="34" t="s">
        <v>222</v>
      </c>
      <c r="B33" s="34" t="s">
        <v>214</v>
      </c>
      <c r="C33" s="34" t="s">
        <v>223</v>
      </c>
      <c r="D33" s="34" t="s">
        <v>224</v>
      </c>
      <c r="E33" s="34" t="s">
        <v>183</v>
      </c>
      <c r="F33" s="34" t="s">
        <v>225</v>
      </c>
    </row>
    <row r="34" customFormat="false" ht="31.5" hidden="false" customHeight="true" outlineLevel="0" collapsed="false">
      <c r="A34" s="35" t="s">
        <v>226</v>
      </c>
      <c r="B34" s="35" t="s">
        <v>227</v>
      </c>
      <c r="C34" s="35" t="s">
        <v>228</v>
      </c>
      <c r="D34" s="35" t="s">
        <v>157</v>
      </c>
      <c r="E34" s="35" t="s">
        <v>183</v>
      </c>
      <c r="F34" s="35" t="s">
        <v>229</v>
      </c>
    </row>
    <row r="35" customFormat="false" ht="31.5" hidden="false" customHeight="true" outlineLevel="0" collapsed="false">
      <c r="A35" s="34" t="s">
        <v>230</v>
      </c>
      <c r="B35" s="34" t="s">
        <v>231</v>
      </c>
      <c r="C35" s="34" t="s">
        <v>232</v>
      </c>
      <c r="D35" s="34" t="s">
        <v>233</v>
      </c>
      <c r="E35" s="34" t="s">
        <v>234</v>
      </c>
      <c r="F35" s="34" t="s">
        <v>235</v>
      </c>
    </row>
    <row r="38" customFormat="false" ht="15" hidden="false" customHeight="true" outlineLevel="0" collapsed="false">
      <c r="A38" s="10" t="s">
        <v>236</v>
      </c>
      <c r="B38" s="10"/>
      <c r="C38" s="10"/>
      <c r="D38" s="10"/>
      <c r="E38" s="10"/>
      <c r="F38" s="10"/>
    </row>
    <row r="39" customFormat="false" ht="30" hidden="false" customHeight="true" outlineLevel="0" collapsed="false">
      <c r="A39" s="36" t="s">
        <v>237</v>
      </c>
      <c r="B39" s="36"/>
      <c r="C39" s="36"/>
      <c r="D39" s="36"/>
      <c r="E39" s="36"/>
      <c r="F39" s="36"/>
    </row>
    <row r="40" customFormat="false" ht="30" hidden="false" customHeight="true" outlineLevel="0" collapsed="false">
      <c r="A40" s="36" t="s">
        <v>238</v>
      </c>
      <c r="B40" s="36"/>
      <c r="C40" s="36"/>
      <c r="D40" s="36"/>
      <c r="E40" s="36"/>
      <c r="F40" s="36"/>
    </row>
    <row r="41" customFormat="false" ht="30" hidden="false" customHeight="true" outlineLevel="0" collapsed="false">
      <c r="A41" s="36" t="s">
        <v>239</v>
      </c>
      <c r="B41" s="36"/>
      <c r="C41" s="36"/>
      <c r="D41" s="36"/>
      <c r="E41" s="36"/>
      <c r="F41" s="36"/>
    </row>
    <row r="42" customFormat="false" ht="30" hidden="false" customHeight="true" outlineLevel="0" collapsed="false">
      <c r="A42" s="36" t="s">
        <v>240</v>
      </c>
      <c r="B42" s="36"/>
      <c r="C42" s="36"/>
      <c r="D42" s="36"/>
      <c r="E42" s="36"/>
      <c r="F42" s="36"/>
    </row>
    <row r="43" customFormat="false" ht="30" hidden="false" customHeight="true" outlineLevel="0" collapsed="false">
      <c r="A43" s="36" t="s">
        <v>241</v>
      </c>
      <c r="B43" s="36"/>
      <c r="C43" s="36"/>
      <c r="D43" s="36"/>
      <c r="E43" s="36"/>
      <c r="F43" s="36"/>
    </row>
    <row r="44" customFormat="false" ht="30" hidden="false" customHeight="true" outlineLevel="0" collapsed="false">
      <c r="A44" s="36" t="s">
        <v>242</v>
      </c>
      <c r="B44" s="36"/>
      <c r="C44" s="36"/>
      <c r="D44" s="36"/>
      <c r="E44" s="36"/>
      <c r="F44" s="36"/>
    </row>
    <row r="45" customFormat="false" ht="30" hidden="false" customHeight="true" outlineLevel="0" collapsed="false">
      <c r="A45" s="36" t="s">
        <v>243</v>
      </c>
      <c r="B45" s="36"/>
      <c r="C45" s="36"/>
      <c r="D45" s="36"/>
      <c r="E45" s="36"/>
      <c r="F45" s="36"/>
    </row>
    <row r="48" customFormat="false" ht="15" hidden="false" customHeight="true" outlineLevel="0" collapsed="false">
      <c r="A48" s="10" t="s">
        <v>244</v>
      </c>
      <c r="B48" s="10"/>
      <c r="C48" s="10"/>
      <c r="D48" s="10"/>
      <c r="E48" s="10"/>
      <c r="F48" s="10"/>
    </row>
    <row r="49" customFormat="false" ht="30" hidden="false" customHeight="true" outlineLevel="0" collapsed="false">
      <c r="A49" s="36" t="s">
        <v>245</v>
      </c>
      <c r="B49" s="36"/>
      <c r="C49" s="36"/>
      <c r="D49" s="36"/>
      <c r="E49" s="36"/>
      <c r="F49" s="36"/>
    </row>
    <row r="50" customFormat="false" ht="30" hidden="false" customHeight="true" outlineLevel="0" collapsed="false">
      <c r="A50" s="36" t="s">
        <v>246</v>
      </c>
      <c r="B50" s="36"/>
      <c r="C50" s="36"/>
      <c r="D50" s="36"/>
      <c r="E50" s="36"/>
      <c r="F50" s="36"/>
    </row>
    <row r="51" customFormat="false" ht="30" hidden="false" customHeight="true" outlineLevel="0" collapsed="false">
      <c r="A51" s="36" t="s">
        <v>247</v>
      </c>
      <c r="B51" s="36"/>
      <c r="C51" s="36"/>
      <c r="D51" s="36"/>
      <c r="E51" s="36"/>
      <c r="F51" s="36"/>
    </row>
    <row r="52" customFormat="false" ht="30" hidden="false" customHeight="true" outlineLevel="0" collapsed="false">
      <c r="A52" s="36" t="s">
        <v>248</v>
      </c>
      <c r="B52" s="36"/>
      <c r="C52" s="36"/>
      <c r="D52" s="36"/>
      <c r="E52" s="36"/>
      <c r="F52" s="36"/>
    </row>
    <row r="53" customFormat="false" ht="30" hidden="false" customHeight="true" outlineLevel="0" collapsed="false">
      <c r="A53" s="36" t="s">
        <v>249</v>
      </c>
      <c r="B53" s="36"/>
      <c r="C53" s="36"/>
      <c r="D53" s="36"/>
      <c r="E53" s="36"/>
      <c r="F53" s="36"/>
    </row>
  </sheetData>
  <mergeCells count="18">
    <mergeCell ref="A1:H1"/>
    <mergeCell ref="A3:H3"/>
    <mergeCell ref="A11:H11"/>
    <mergeCell ref="A13:H13"/>
    <mergeCell ref="A38:F38"/>
    <mergeCell ref="A39:F39"/>
    <mergeCell ref="A40:F40"/>
    <mergeCell ref="A41:F41"/>
    <mergeCell ref="A42:F42"/>
    <mergeCell ref="A43:F43"/>
    <mergeCell ref="A44:F44"/>
    <mergeCell ref="A45:F45"/>
    <mergeCell ref="A48:F48"/>
    <mergeCell ref="A49:F49"/>
    <mergeCell ref="A50:F50"/>
    <mergeCell ref="A51:F51"/>
    <mergeCell ref="A52:F5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6"/>
    <col collapsed="false" customWidth="true" hidden="false" outlineLevel="0" max="4" min="2" style="1" width="18"/>
    <col collapsed="false" customWidth="true" hidden="false" outlineLevel="0" max="5" min="5" style="1" width="22"/>
    <col collapsed="false" customWidth="true" hidden="false" outlineLevel="0" max="6" min="6" style="1" width="38"/>
  </cols>
  <sheetData>
    <row r="1" customFormat="false" ht="17.25" hidden="false" customHeight="true" outlineLevel="0" collapsed="false">
      <c r="A1" s="2" t="s">
        <v>250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0" t="s">
        <v>251</v>
      </c>
      <c r="B3" s="10"/>
      <c r="C3" s="10"/>
      <c r="D3" s="10"/>
      <c r="E3" s="10"/>
      <c r="F3" s="10"/>
    </row>
    <row r="4" customFormat="false" ht="15" hidden="false" customHeight="true" outlineLevel="0" collapsed="false">
      <c r="A4" s="25" t="s">
        <v>104</v>
      </c>
      <c r="B4" s="25" t="s">
        <v>252</v>
      </c>
      <c r="C4" s="25" t="s">
        <v>253</v>
      </c>
      <c r="D4" s="25" t="s">
        <v>254</v>
      </c>
      <c r="E4" s="25" t="s">
        <v>255</v>
      </c>
      <c r="F4" s="25" t="s">
        <v>256</v>
      </c>
    </row>
    <row r="5" customFormat="false" ht="15" hidden="false" customHeight="true" outlineLevel="0" collapsed="false">
      <c r="A5" s="4" t="s">
        <v>111</v>
      </c>
      <c r="B5" s="27" t="n">
        <f aca="false">EDATE(Assumptions!$B$4,3)</f>
        <v>46257</v>
      </c>
      <c r="C5" s="1" t="s">
        <v>257</v>
      </c>
      <c r="D5" s="29" t="n">
        <f aca="false">Projection!G7</f>
        <v>34</v>
      </c>
      <c r="E5" s="37" t="n">
        <f aca="false">Projection!H7</f>
        <v>166.64</v>
      </c>
      <c r="F5" s="28" t="n">
        <f aca="false">Projection!I7</f>
        <v>1999.68</v>
      </c>
    </row>
    <row r="6" customFormat="false" ht="15" hidden="false" customHeight="true" outlineLevel="0" collapsed="false">
      <c r="A6" s="7" t="s">
        <v>111</v>
      </c>
      <c r="B6" s="27" t="n">
        <f aca="false">EDATE(Assumptions!$B$4,3)</f>
        <v>46257</v>
      </c>
      <c r="C6" s="1" t="s">
        <v>258</v>
      </c>
      <c r="D6" s="29" t="n">
        <f aca="false">Projection!G23</f>
        <v>51.5</v>
      </c>
      <c r="E6" s="37" t="n">
        <f aca="false">Projection!H23</f>
        <v>251.34</v>
      </c>
      <c r="F6" s="28" t="n">
        <f aca="false">Projection!I23</f>
        <v>3016.08</v>
      </c>
    </row>
    <row r="7" customFormat="false" ht="15" hidden="false" customHeight="true" outlineLevel="0" collapsed="false">
      <c r="A7" s="7" t="s">
        <v>111</v>
      </c>
      <c r="B7" s="27" t="n">
        <f aca="false">EDATE(Assumptions!$B$4,3)</f>
        <v>46257</v>
      </c>
      <c r="C7" s="1" t="s">
        <v>259</v>
      </c>
      <c r="D7" s="29" t="n">
        <f aca="false">Projection!G39</f>
        <v>98</v>
      </c>
      <c r="E7" s="37" t="n">
        <f aca="false">Projection!H39</f>
        <v>476.4</v>
      </c>
      <c r="F7" s="28" t="n">
        <f aca="false">Projection!I39</f>
        <v>5716.8</v>
      </c>
    </row>
    <row r="9" customFormat="false" ht="15" hidden="false" customHeight="true" outlineLevel="0" collapsed="false">
      <c r="A9" s="4" t="s">
        <v>112</v>
      </c>
      <c r="B9" s="27" t="n">
        <f aca="false">EDATE(Assumptions!$B$4,6)</f>
        <v>46349</v>
      </c>
      <c r="C9" s="1" t="s">
        <v>257</v>
      </c>
      <c r="D9" s="29" t="n">
        <f aca="false">Projection!G10</f>
        <v>54</v>
      </c>
      <c r="E9" s="37" t="n">
        <f aca="false">Projection!H10</f>
        <v>263.44</v>
      </c>
      <c r="F9" s="28" t="n">
        <f aca="false">Projection!I10</f>
        <v>3161.28</v>
      </c>
    </row>
    <row r="10" customFormat="false" ht="15" hidden="false" customHeight="true" outlineLevel="0" collapsed="false">
      <c r="A10" s="7" t="s">
        <v>112</v>
      </c>
      <c r="B10" s="27" t="n">
        <f aca="false">EDATE(Assumptions!$B$4,6)</f>
        <v>46349</v>
      </c>
      <c r="C10" s="1" t="s">
        <v>258</v>
      </c>
      <c r="D10" s="29" t="n">
        <f aca="false">Projection!G26</f>
        <v>126</v>
      </c>
      <c r="E10" s="37" t="n">
        <f aca="false">Projection!H26</f>
        <v>611.92</v>
      </c>
      <c r="F10" s="28" t="n">
        <f aca="false">Projection!I26</f>
        <v>7343.04</v>
      </c>
    </row>
    <row r="11" customFormat="false" ht="15" hidden="false" customHeight="true" outlineLevel="0" collapsed="false">
      <c r="A11" s="7" t="s">
        <v>112</v>
      </c>
      <c r="B11" s="27" t="n">
        <f aca="false">EDATE(Assumptions!$B$4,6)</f>
        <v>46349</v>
      </c>
      <c r="C11" s="1" t="s">
        <v>259</v>
      </c>
      <c r="D11" s="29" t="n">
        <f aca="false">Projection!G42</f>
        <v>396</v>
      </c>
      <c r="E11" s="37" t="n">
        <f aca="false">Projection!H42</f>
        <v>1918.72</v>
      </c>
      <c r="F11" s="28" t="n">
        <f aca="false">Projection!I42</f>
        <v>23024.64</v>
      </c>
    </row>
    <row r="13" customFormat="false" ht="15" hidden="false" customHeight="true" outlineLevel="0" collapsed="false">
      <c r="A13" s="4" t="s">
        <v>113</v>
      </c>
      <c r="B13" s="27" t="n">
        <f aca="false">EDATE(Assumptions!$B$4,12)</f>
        <v>46530</v>
      </c>
      <c r="C13" s="1" t="s">
        <v>257</v>
      </c>
      <c r="D13" s="29" t="n">
        <f aca="false">Projection!G16</f>
        <v>82</v>
      </c>
      <c r="E13" s="37" t="n">
        <f aca="false">Projection!H16</f>
        <v>398.96</v>
      </c>
      <c r="F13" s="28" t="n">
        <f aca="false">Projection!I16</f>
        <v>4787.52</v>
      </c>
    </row>
    <row r="14" customFormat="false" ht="15" hidden="false" customHeight="true" outlineLevel="0" collapsed="false">
      <c r="A14" s="7" t="s">
        <v>113</v>
      </c>
      <c r="B14" s="27" t="n">
        <f aca="false">EDATE(Assumptions!$B$4,12)</f>
        <v>46530</v>
      </c>
      <c r="C14" s="1" t="s">
        <v>258</v>
      </c>
      <c r="D14" s="29" t="n">
        <f aca="false">Projection!G32</f>
        <v>236</v>
      </c>
      <c r="E14" s="37" t="n">
        <f aca="false">Projection!H32</f>
        <v>1144.32</v>
      </c>
      <c r="F14" s="28" t="n">
        <f aca="false">Projection!I32</f>
        <v>13731.84</v>
      </c>
    </row>
    <row r="15" customFormat="false" ht="15" hidden="false" customHeight="true" outlineLevel="0" collapsed="false">
      <c r="A15" s="7" t="s">
        <v>113</v>
      </c>
      <c r="B15" s="27" t="n">
        <f aca="false">EDATE(Assumptions!$B$4,12)</f>
        <v>46530</v>
      </c>
      <c r="C15" s="1" t="s">
        <v>259</v>
      </c>
      <c r="D15" s="29" t="n">
        <f aca="false">Projection!G48</f>
        <v>855</v>
      </c>
      <c r="E15" s="37" t="n">
        <f aca="false">Projection!H48</f>
        <v>4140.28</v>
      </c>
      <c r="F15" s="28" t="n">
        <f aca="false">Projection!I48</f>
        <v>49683.36</v>
      </c>
    </row>
    <row r="18" customFormat="false" ht="15" hidden="false" customHeight="true" outlineLevel="0" collapsed="false">
      <c r="A18" s="10" t="s">
        <v>260</v>
      </c>
      <c r="B18" s="10"/>
      <c r="C18" s="10"/>
      <c r="D18" s="10"/>
      <c r="E18" s="10"/>
      <c r="F18" s="10"/>
    </row>
    <row r="19" customFormat="false" ht="15" hidden="false" customHeight="true" outlineLevel="0" collapsed="false">
      <c r="A19" s="1" t="s">
        <v>261</v>
      </c>
      <c r="D19" s="38" t="n">
        <f aca="false">Assumptions!B49</f>
        <v>46182.5</v>
      </c>
    </row>
    <row r="20" customFormat="false" ht="15" hidden="false" customHeight="true" outlineLevel="0" collapsed="false">
      <c r="A20" s="1" t="s">
        <v>262</v>
      </c>
      <c r="D20" s="38" t="n">
        <f aca="false">Assumptions!B51</f>
        <v>46210.5</v>
      </c>
    </row>
    <row r="21" customFormat="false" ht="15" hidden="false" customHeight="true" outlineLevel="0" collapsed="false">
      <c r="A21" s="1" t="s">
        <v>263</v>
      </c>
      <c r="D21" s="39" t="n">
        <f aca="false">Assumptions!B48</f>
        <v>2.5</v>
      </c>
    </row>
    <row r="22" customFormat="false" ht="15" hidden="false" customHeight="true" outlineLevel="0" collapsed="false">
      <c r="A22" s="1" t="s">
        <v>264</v>
      </c>
      <c r="D22" s="39" t="n">
        <f aca="false">Assumptions!B50</f>
        <v>6.5</v>
      </c>
    </row>
    <row r="25" customFormat="false" ht="15" hidden="false" customHeight="true" outlineLevel="0" collapsed="false">
      <c r="A25" s="10" t="s">
        <v>265</v>
      </c>
      <c r="B25" s="10"/>
      <c r="C25" s="10"/>
      <c r="D25" s="10"/>
      <c r="E25" s="10"/>
      <c r="F25" s="10"/>
    </row>
    <row r="26" customFormat="false" ht="15" hidden="false" customHeight="true" outlineLevel="0" collapsed="false">
      <c r="A26" s="25" t="s">
        <v>266</v>
      </c>
      <c r="B26" s="25" t="s">
        <v>257</v>
      </c>
      <c r="C26" s="25" t="s">
        <v>258</v>
      </c>
      <c r="D26" s="25" t="s">
        <v>259</v>
      </c>
      <c r="E26" s="25" t="s">
        <v>267</v>
      </c>
      <c r="F26" s="25" t="s">
        <v>268</v>
      </c>
    </row>
    <row r="27" customFormat="false" ht="15" hidden="false" customHeight="true" outlineLevel="0" collapsed="false">
      <c r="A27" s="1" t="s">
        <v>269</v>
      </c>
      <c r="B27" s="37" t="n">
        <f aca="false">Assumptions!B15</f>
        <v>4.84</v>
      </c>
      <c r="C27" s="37" t="n">
        <f aca="false">Assumptions!B15</f>
        <v>4.84</v>
      </c>
      <c r="D27" s="37" t="n">
        <f aca="false">Assumptions!B15</f>
        <v>4.84</v>
      </c>
      <c r="E27" s="1" t="s">
        <v>125</v>
      </c>
      <c r="F27" s="13" t="s">
        <v>270</v>
      </c>
    </row>
    <row r="28" customFormat="false" ht="15" hidden="false" customHeight="true" outlineLevel="0" collapsed="false">
      <c r="A28" s="1" t="s">
        <v>271</v>
      </c>
      <c r="B28" s="31" t="n">
        <f aca="false">B27/Assumptions!B24</f>
        <v>60.5</v>
      </c>
      <c r="C28" s="31" t="n">
        <f aca="false">C27/Assumptions!B24</f>
        <v>60.5</v>
      </c>
      <c r="D28" s="31" t="n">
        <f aca="false">D27/Assumptions!B24</f>
        <v>60.5</v>
      </c>
      <c r="E28" s="1" t="s">
        <v>125</v>
      </c>
      <c r="F28" s="13" t="s">
        <v>272</v>
      </c>
    </row>
    <row r="29" customFormat="false" ht="15" hidden="false" customHeight="true" outlineLevel="0" collapsed="false">
      <c r="A29" s="1" t="s">
        <v>273</v>
      </c>
      <c r="B29" s="31" t="n">
        <f aca="false">Assumptions!B29/(Assumptions!B29/100*Assumptions!B34)</f>
        <v>50</v>
      </c>
      <c r="C29" s="31" t="n">
        <f aca="false">Assumptions!B30/(Assumptions!B30/100*Assumptions!B35)</f>
        <v>33.3333333333333</v>
      </c>
      <c r="D29" s="31" t="n">
        <f aca="false">Assumptions!B31/(Assumptions!B31/100*Assumptions!B36)</f>
        <v>25</v>
      </c>
      <c r="E29" s="1" t="s">
        <v>274</v>
      </c>
      <c r="F29" s="13" t="s">
        <v>275</v>
      </c>
    </row>
    <row r="30" customFormat="false" ht="15" hidden="false" customHeight="true" outlineLevel="0" collapsed="false">
      <c r="A30" s="1" t="s">
        <v>276</v>
      </c>
      <c r="B30" s="40" t="n">
        <f aca="false">B28/B29</f>
        <v>1.21</v>
      </c>
      <c r="C30" s="40" t="n">
        <f aca="false">C28/C29</f>
        <v>1.815</v>
      </c>
      <c r="D30" s="40" t="n">
        <f aca="false">D28/D29</f>
        <v>2.42</v>
      </c>
      <c r="E30" s="1" t="s">
        <v>277</v>
      </c>
      <c r="F30" s="13" t="s">
        <v>278</v>
      </c>
    </row>
    <row r="31" customFormat="false" ht="15" hidden="false" customHeight="true" outlineLevel="0" collapsed="false">
      <c r="A31" s="1" t="s">
        <v>279</v>
      </c>
      <c r="B31" s="32" t="n">
        <f aca="false">Assumptions!B29</f>
        <v>250</v>
      </c>
      <c r="C31" s="32" t="n">
        <f aca="false">Assumptions!B30</f>
        <v>750</v>
      </c>
      <c r="D31" s="32" t="n">
        <f aca="false">Assumptions!B31</f>
        <v>2500</v>
      </c>
      <c r="E31" s="1" t="s">
        <v>125</v>
      </c>
    </row>
    <row r="34" customFormat="false" ht="15" hidden="false" customHeight="true" outlineLevel="0" collapsed="false">
      <c r="A34" s="10" t="s">
        <v>280</v>
      </c>
      <c r="B34" s="10"/>
      <c r="C34" s="10"/>
      <c r="D34" s="10"/>
      <c r="E34" s="10"/>
      <c r="F34" s="10"/>
    </row>
    <row r="35" customFormat="false" ht="55.5" hidden="false" customHeight="true" outlineLevel="0" collapsed="false">
      <c r="A35" s="36" t="s">
        <v>281</v>
      </c>
      <c r="B35" s="36"/>
      <c r="C35" s="36"/>
      <c r="D35" s="36"/>
      <c r="E35" s="36"/>
      <c r="F35" s="36"/>
    </row>
    <row r="36" customFormat="false" ht="55.5" hidden="false" customHeight="true" outlineLevel="0" collapsed="false">
      <c r="A36" s="36" t="s">
        <v>282</v>
      </c>
      <c r="B36" s="36"/>
      <c r="C36" s="36"/>
      <c r="D36" s="36"/>
      <c r="E36" s="36"/>
      <c r="F36" s="36"/>
    </row>
    <row r="37" customFormat="false" ht="55.5" hidden="false" customHeight="true" outlineLevel="0" collapsed="false">
      <c r="A37" s="36" t="s">
        <v>283</v>
      </c>
      <c r="B37" s="36"/>
      <c r="C37" s="36"/>
      <c r="D37" s="36"/>
      <c r="E37" s="36"/>
      <c r="F37" s="36"/>
    </row>
    <row r="38" customFormat="false" ht="55.5" hidden="false" customHeight="true" outlineLevel="0" collapsed="false">
      <c r="A38" s="36" t="s">
        <v>284</v>
      </c>
      <c r="B38" s="36"/>
      <c r="C38" s="36"/>
      <c r="D38" s="36"/>
      <c r="E38" s="36"/>
      <c r="F38" s="36"/>
    </row>
    <row r="39" customFormat="false" ht="55.5" hidden="false" customHeight="true" outlineLevel="0" collapsed="false">
      <c r="A39" s="36" t="s">
        <v>285</v>
      </c>
      <c r="B39" s="36"/>
      <c r="C39" s="36"/>
      <c r="D39" s="36"/>
      <c r="E39" s="36"/>
      <c r="F39" s="36"/>
    </row>
    <row r="40" customFormat="false" ht="55.5" hidden="false" customHeight="true" outlineLevel="0" collapsed="false">
      <c r="A40" s="36" t="s">
        <v>286</v>
      </c>
      <c r="B40" s="36"/>
      <c r="C40" s="36"/>
      <c r="D40" s="36"/>
      <c r="E40" s="36"/>
      <c r="F40" s="36"/>
    </row>
  </sheetData>
  <mergeCells count="11">
    <mergeCell ref="A1:F1"/>
    <mergeCell ref="A3:F3"/>
    <mergeCell ref="A18:F18"/>
    <mergeCell ref="A25:F25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2026-05-23T20:59:51Z</dcterms:created>
  <dc:creator>openpyxl</dc:creator>
  <dc:description/>
  <dc:language>en-US</dc:language>
  <cp:lastModifiedBy/>
  <dcterms:modified xsi:type="dcterms:W3CDTF">2026-05-23T21:01:38Z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